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4CF17E26-5143-4172-B74C-48C1A9F72BDF}" xr6:coauthVersionLast="47" xr6:coauthVersionMax="47" xr10:uidLastSave="{00000000-0000-0000-0000-000000000000}"/>
  <bookViews>
    <workbookView xWindow="-120" yWindow="-120" windowWidth="20730" windowHeight="11040" activeTab="3" xr2:uid="{00000000-000D-0000-FFFF-FFFF00000000}"/>
  </bookViews>
  <sheets>
    <sheet name="Sheet1" sheetId="8" r:id="rId1"/>
    <sheet name="Sheet2" sheetId="4" r:id="rId2"/>
    <sheet name="Sheet3" sheetId="9" r:id="rId3"/>
    <sheet name="Sheet4" sheetId="10" r:id="rId4"/>
    <sheet name="Sheet5" sheetId="11" r:id="rId5"/>
  </sheets>
  <definedNames>
    <definedName name="_xlnm._FilterDatabase" localSheetId="1" hidden="1">Sheet2!$D$8:$I$47</definedName>
    <definedName name="_xlnm._FilterDatabase" localSheetId="3" hidden="1">Sheet4!$D$4:$H$85</definedName>
    <definedName name="_xlnm.Print_Area" localSheetId="2">Sheet3!$A$1:$Q$42</definedName>
    <definedName name="_xlnm.Print_Area" localSheetId="3">Sheet4!$D$2:$H$85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8" i="10" l="1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F6" i="10"/>
  <c r="H6" i="10" s="1"/>
  <c r="F7" i="10"/>
  <c r="H7" i="10" s="1"/>
  <c r="F8" i="10"/>
  <c r="H8" i="10" s="1"/>
  <c r="F9" i="10"/>
  <c r="H9" i="10" s="1"/>
  <c r="F10" i="10"/>
  <c r="H10" i="10" s="1"/>
  <c r="F11" i="10"/>
  <c r="H11" i="10" s="1"/>
  <c r="F12" i="10"/>
  <c r="H12" i="10" s="1"/>
  <c r="F13" i="10"/>
  <c r="H13" i="10" s="1"/>
  <c r="F14" i="10"/>
  <c r="H14" i="10" s="1"/>
  <c r="F15" i="10"/>
  <c r="H15" i="10" s="1"/>
  <c r="F16" i="10"/>
  <c r="H16" i="10" s="1"/>
  <c r="F17" i="10"/>
  <c r="H17" i="10" s="1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5" i="10"/>
  <c r="D5" i="10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K82" i="8"/>
  <c r="L6" i="8"/>
  <c r="P6" i="8"/>
  <c r="Q6" i="8" s="1"/>
  <c r="L7" i="8"/>
  <c r="L8" i="8"/>
  <c r="L9" i="8"/>
  <c r="P9" i="8"/>
  <c r="L10" i="8"/>
  <c r="L11" i="8"/>
  <c r="L12" i="8"/>
  <c r="O12" i="8"/>
  <c r="P12" i="8"/>
  <c r="L13" i="8"/>
  <c r="L14" i="8"/>
  <c r="L15" i="8"/>
  <c r="P15" i="8"/>
  <c r="L16" i="8"/>
  <c r="P16" i="8"/>
  <c r="L17" i="8"/>
  <c r="P17" i="8"/>
  <c r="L18" i="8"/>
  <c r="L19" i="8"/>
  <c r="L20" i="8"/>
  <c r="P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H85" i="10" l="1"/>
  <c r="L82" i="8"/>
  <c r="G85" i="10"/>
  <c r="K10" i="4"/>
  <c r="K9" i="4"/>
  <c r="K8" i="4"/>
  <c r="O10" i="4"/>
  <c r="O9" i="4"/>
  <c r="B7" i="9" l="1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6" i="9"/>
  <c r="O8" i="4"/>
  <c r="I47" i="4" l="1"/>
  <c r="G47" i="4"/>
  <c r="H9" i="4" l="1"/>
  <c r="H10" i="4"/>
  <c r="H11" i="4" l="1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46" i="4" l="1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47" i="4" l="1"/>
</calcChain>
</file>

<file path=xl/sharedStrings.xml><?xml version="1.0" encoding="utf-8"?>
<sst xmlns="http://schemas.openxmlformats.org/spreadsheetml/2006/main" count="279" uniqueCount="104">
  <si>
    <t>INDIAN RING SIZE</t>
  </si>
  <si>
    <t>M.M</t>
  </si>
  <si>
    <t>BANGEL</t>
  </si>
  <si>
    <t>NECKLACE SIZE</t>
  </si>
  <si>
    <t>ROUND DAIMOND</t>
  </si>
  <si>
    <t>WT/PC</t>
  </si>
  <si>
    <t>QTY</t>
  </si>
  <si>
    <t>-000</t>
  </si>
  <si>
    <t>+000-00</t>
  </si>
  <si>
    <t>+00-0</t>
  </si>
  <si>
    <t>+0-1</t>
  </si>
  <si>
    <t>+1-1.5</t>
  </si>
  <si>
    <t>+1.5-2</t>
  </si>
  <si>
    <t>+2-2.5</t>
  </si>
  <si>
    <t>+2.5-3</t>
  </si>
  <si>
    <t>+3-3.5</t>
  </si>
  <si>
    <t>+3.5-4</t>
  </si>
  <si>
    <t>+4-4.5</t>
  </si>
  <si>
    <t>+4.5-5</t>
  </si>
  <si>
    <t>+5-5.5</t>
  </si>
  <si>
    <t>+5.5-6</t>
  </si>
  <si>
    <t>+6-6.5</t>
  </si>
  <si>
    <t>+6.5-7</t>
  </si>
  <si>
    <t>+7-7.5</t>
  </si>
  <si>
    <t>+7.5-8</t>
  </si>
  <si>
    <t>+8-8.5</t>
  </si>
  <si>
    <t>+8.5-9</t>
  </si>
  <si>
    <t>+9-9.5</t>
  </si>
  <si>
    <t>+9.5-10</t>
  </si>
  <si>
    <t>+10-10.5</t>
  </si>
  <si>
    <t>+10.5-11</t>
  </si>
  <si>
    <t>+11-11.5</t>
  </si>
  <si>
    <t>+11.5-12</t>
  </si>
  <si>
    <t>+12-12.5</t>
  </si>
  <si>
    <t>+12.5-13</t>
  </si>
  <si>
    <t>+13-13.5</t>
  </si>
  <si>
    <t>+13.5-14</t>
  </si>
  <si>
    <t>+14-14.5</t>
  </si>
  <si>
    <t>+14.5-15</t>
  </si>
  <si>
    <t>+15-15.5</t>
  </si>
  <si>
    <t>+15.5-16</t>
  </si>
  <si>
    <t>+16-16.5</t>
  </si>
  <si>
    <t>+16.5-17</t>
  </si>
  <si>
    <t>SEIVE</t>
  </si>
  <si>
    <t>GAUGE</t>
  </si>
  <si>
    <t xml:space="preserve">METAL GAUGE </t>
  </si>
  <si>
    <t xml:space="preserve">M.M </t>
  </si>
  <si>
    <t>LENGTH</t>
  </si>
  <si>
    <t>D-m.m</t>
  </si>
  <si>
    <t>Length</t>
  </si>
  <si>
    <t>CAD VOLUME</t>
  </si>
  <si>
    <t>ITEM NAME</t>
  </si>
  <si>
    <t>0000</t>
  </si>
  <si>
    <t>0.60</t>
  </si>
  <si>
    <t>0.70</t>
  </si>
  <si>
    <t xml:space="preserve"> RING,BANGEL,DIMOND SIZE</t>
  </si>
  <si>
    <t>GOLD WIEGHT</t>
  </si>
  <si>
    <t>In</t>
  </si>
  <si>
    <t>Ani</t>
  </si>
  <si>
    <t>Inchie</t>
  </si>
  <si>
    <t>mm</t>
  </si>
  <si>
    <t>Lenght</t>
  </si>
  <si>
    <t>(R)mm</t>
  </si>
  <si>
    <t>(D)mm</t>
  </si>
  <si>
    <t>+0000</t>
  </si>
  <si>
    <t>T.W</t>
  </si>
  <si>
    <t>W/PC</t>
  </si>
  <si>
    <t>No</t>
  </si>
  <si>
    <t>Exta Pics</t>
  </si>
  <si>
    <t>MM</t>
  </si>
  <si>
    <t>DIGRI</t>
  </si>
  <si>
    <t>14-K-Y-G(WAXCAM)</t>
  </si>
  <si>
    <t>18-K-Y-G(WAXCAM)</t>
  </si>
  <si>
    <t>22-K-Y-G(WAXGOLD)</t>
  </si>
  <si>
    <t>Round Diamond  Details</t>
  </si>
  <si>
    <t>TOTAL PICS &amp; WEIGHT</t>
  </si>
  <si>
    <t>Dirca CAM</t>
  </si>
  <si>
    <t>Normal CAM</t>
  </si>
  <si>
    <t>14-KT GOLD</t>
  </si>
  <si>
    <t>18-KT GOLD</t>
  </si>
  <si>
    <t>22-KT GOLD</t>
  </si>
  <si>
    <t>Cad Volume</t>
  </si>
  <si>
    <t>In-Ani</t>
  </si>
  <si>
    <t xml:space="preserve"> RING BANGEL DIMOND SIZE</t>
  </si>
  <si>
    <t>14KT-</t>
  </si>
  <si>
    <t>18KT-</t>
  </si>
  <si>
    <t>PCS</t>
  </si>
  <si>
    <t>CT.WT</t>
  </si>
  <si>
    <t>WT</t>
  </si>
  <si>
    <t>****</t>
  </si>
  <si>
    <t>+17-17.5</t>
  </si>
  <si>
    <t>+17.5-18</t>
  </si>
  <si>
    <t>+18-18.5</t>
  </si>
  <si>
    <t>+18.5-19</t>
  </si>
  <si>
    <t>+19.5-20</t>
  </si>
  <si>
    <t>+20-20.5</t>
  </si>
  <si>
    <t>+20.5-21</t>
  </si>
  <si>
    <t>+19-19.5</t>
  </si>
  <si>
    <t>M.M.</t>
  </si>
  <si>
    <t>0.6</t>
  </si>
  <si>
    <t>0.8</t>
  </si>
  <si>
    <t>0.7</t>
  </si>
  <si>
    <t>0.9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</si>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</sst>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b/>
      <sz val="16"/>
      <color theme="1"/>
      <name val="Cambria"/>
      <family val="1"/>
      <scheme val="major"/>
    </font>
    <font>
      <b/>
      <sz val="12"/>
      <color rgb="FFFF0000"/>
      <name val="Calibri"/>
      <family val="2"/>
      <scheme val="minor"/>
    </font>
    <font>
      <sz val="14"/>
      <color theme="1"/>
      <name val="Cambria"/>
      <family val="1"/>
      <scheme val="major"/>
    </font>
    <font>
      <u/>
      <sz val="36"/>
      <color theme="1"/>
      <name val="Cambria"/>
      <family val="1"/>
    </font>
    <font>
      <sz val="36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sz val="11"/>
      <color rgb="FFFF0000"/>
      <name val="Arial"/>
      <family val="2"/>
    </font>
    <font>
      <sz val="14"/>
      <color rgb="FFFF0000"/>
      <name val="Arial"/>
      <family val="2"/>
    </font>
    <font>
      <b/>
      <sz val="14"/>
      <name val="Arial"/>
      <family val="2"/>
    </font>
    <font>
      <b/>
      <sz val="26"/>
      <color theme="1"/>
      <name val="Arial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b/>
      <sz val="18"/>
      <color theme="1"/>
      <name val="Arial"/>
      <family val="2"/>
    </font>
    <font>
      <b/>
      <sz val="12"/>
      <color rgb="FFC00000"/>
      <name val="Arial"/>
      <family val="2"/>
    </font>
    <font>
      <b/>
      <sz val="14"/>
      <color theme="1"/>
      <name val="Arial"/>
      <family val="2"/>
    </font>
    <font>
      <b/>
      <sz val="12"/>
      <color theme="0"/>
      <name val="Segoe UI"/>
      <family val="2"/>
    </font>
    <font>
      <b/>
      <sz val="12"/>
      <color theme="1"/>
      <name val="Segoe UI"/>
      <family val="2"/>
    </font>
    <font>
      <sz val="11"/>
      <color theme="1"/>
      <name val="Segoe UI"/>
      <family val="2"/>
    </font>
    <font>
      <b/>
      <sz val="16"/>
      <color theme="1"/>
      <name val="Segoe UI"/>
      <family val="2"/>
    </font>
    <font>
      <b/>
      <sz val="12"/>
      <color rgb="FFC004C0"/>
      <name val="Segoe UI"/>
      <family val="2"/>
    </font>
    <font>
      <b/>
      <sz val="12"/>
      <name val="Segoe UI"/>
      <family val="2"/>
    </font>
    <font>
      <sz val="14"/>
      <name val="Segoe UI"/>
      <family val="2"/>
    </font>
    <font>
      <b/>
      <sz val="16"/>
      <color rgb="FFFF0000"/>
      <name val="Segoe UI"/>
      <family val="2"/>
    </font>
    <font>
      <sz val="12"/>
      <color theme="1"/>
      <name val="Segoe UI"/>
      <family val="2"/>
    </font>
    <font>
      <b/>
      <sz val="16"/>
      <color theme="3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F6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6">
    <xf numFmtId="0" fontId="0" fillId="0" borderId="0" xfId="0"/>
    <xf numFmtId="0" fontId="4" fillId="0" borderId="0" xfId="0" applyFont="1"/>
    <xf numFmtId="0" fontId="5" fillId="0" borderId="0" xfId="0" applyFont="1" applyAlignment="1">
      <alignment vertical="center"/>
    </xf>
    <xf numFmtId="0" fontId="4" fillId="0" borderId="0" xfId="0" applyFont="1" applyProtection="1">
      <protection locked="0"/>
    </xf>
    <xf numFmtId="0" fontId="9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 applyProtection="1">
      <alignment vertical="center"/>
      <protection locked="0"/>
    </xf>
    <xf numFmtId="0" fontId="1" fillId="0" borderId="0" xfId="0" applyFont="1"/>
    <xf numFmtId="0" fontId="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2" fontId="2" fillId="0" borderId="0" xfId="0" applyNumberFormat="1" applyFont="1"/>
    <xf numFmtId="0" fontId="7" fillId="0" borderId="3" xfId="0" applyFont="1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165" fontId="12" fillId="0" borderId="0" xfId="0" applyNumberFormat="1" applyFont="1" applyAlignment="1">
      <alignment horizontal="center"/>
    </xf>
    <xf numFmtId="2" fontId="12" fillId="0" borderId="9" xfId="0" applyNumberFormat="1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9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4" fillId="0" borderId="0" xfId="0" applyFont="1"/>
    <xf numFmtId="0" fontId="13" fillId="0" borderId="9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 applyProtection="1">
      <alignment horizontal="center" vertical="center"/>
      <protection hidden="1"/>
    </xf>
    <xf numFmtId="0" fontId="14" fillId="0" borderId="28" xfId="0" applyFont="1" applyBorder="1"/>
    <xf numFmtId="0" fontId="11" fillId="0" borderId="0" xfId="0" applyFont="1" applyAlignment="1">
      <alignment vertical="center"/>
    </xf>
    <xf numFmtId="0" fontId="15" fillId="6" borderId="29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 applyProtection="1">
      <alignment horizontal="center"/>
      <protection locked="0"/>
    </xf>
    <xf numFmtId="49" fontId="12" fillId="0" borderId="9" xfId="0" applyNumberFormat="1" applyFont="1" applyBorder="1" applyAlignment="1">
      <alignment horizontal="center"/>
    </xf>
    <xf numFmtId="2" fontId="12" fillId="0" borderId="0" xfId="0" applyNumberFormat="1" applyFont="1" applyAlignment="1" applyProtection="1">
      <alignment horizontal="center"/>
      <protection hidden="1"/>
    </xf>
    <xf numFmtId="2" fontId="18" fillId="0" borderId="0" xfId="0" applyNumberFormat="1" applyFont="1" applyAlignment="1" applyProtection="1">
      <alignment horizontal="center" vertical="center"/>
      <protection hidden="1"/>
    </xf>
    <xf numFmtId="0" fontId="15" fillId="6" borderId="0" xfId="0" applyFont="1" applyFill="1" applyAlignment="1">
      <alignment vertical="center"/>
    </xf>
    <xf numFmtId="165" fontId="12" fillId="0" borderId="9" xfId="0" applyNumberFormat="1" applyFont="1" applyBorder="1" applyAlignment="1">
      <alignment horizontal="center" vertical="center"/>
    </xf>
    <xf numFmtId="2" fontId="12" fillId="0" borderId="9" xfId="0" applyNumberFormat="1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1" fontId="21" fillId="0" borderId="1" xfId="0" applyNumberFormat="1" applyFont="1" applyBorder="1" applyAlignment="1">
      <alignment horizontal="right" vertical="center"/>
    </xf>
    <xf numFmtId="49" fontId="12" fillId="0" borderId="22" xfId="0" applyNumberFormat="1" applyFont="1" applyBorder="1" applyAlignment="1">
      <alignment horizontal="center" vertical="center"/>
    </xf>
    <xf numFmtId="49" fontId="12" fillId="0" borderId="23" xfId="0" applyNumberFormat="1" applyFont="1" applyBorder="1" applyAlignment="1" applyProtection="1">
      <alignment horizontal="center" vertical="center"/>
      <protection locked="0"/>
    </xf>
    <xf numFmtId="164" fontId="1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49" fontId="12" fillId="0" borderId="9" xfId="0" applyNumberFormat="1" applyFont="1" applyBorder="1" applyAlignment="1" applyProtection="1">
      <alignment horizontal="center" vertical="center"/>
      <protection locked="0"/>
    </xf>
    <xf numFmtId="0" fontId="22" fillId="0" borderId="9" xfId="0" applyFont="1" applyBorder="1" applyAlignment="1">
      <alignment horizontal="center" vertical="center"/>
    </xf>
    <xf numFmtId="2" fontId="23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4" fillId="0" borderId="9" xfId="0" applyFont="1" applyBorder="1" applyAlignment="1" applyProtection="1">
      <alignment horizontal="center" vertical="center"/>
      <protection locked="0"/>
    </xf>
    <xf numFmtId="2" fontId="23" fillId="0" borderId="20" xfId="0" applyNumberFormat="1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4" fillId="0" borderId="20" xfId="0" applyFont="1" applyBorder="1" applyAlignment="1" applyProtection="1">
      <alignment horizontal="center" vertical="center"/>
      <protection locked="0"/>
    </xf>
    <xf numFmtId="1" fontId="24" fillId="0" borderId="1" xfId="0" applyNumberFormat="1" applyFont="1" applyBorder="1" applyAlignment="1">
      <alignment horizontal="center" vertical="center"/>
    </xf>
    <xf numFmtId="2" fontId="24" fillId="0" borderId="1" xfId="0" applyNumberFormat="1" applyFont="1" applyBorder="1" applyAlignment="1">
      <alignment horizontal="center" vertical="center"/>
    </xf>
    <xf numFmtId="49" fontId="23" fillId="0" borderId="10" xfId="0" applyNumberFormat="1" applyFont="1" applyBorder="1" applyAlignment="1">
      <alignment horizontal="center" vertical="center"/>
    </xf>
    <xf numFmtId="49" fontId="23" fillId="0" borderId="19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29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2" fillId="0" borderId="34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2" fontId="23" fillId="0" borderId="18" xfId="0" applyNumberFormat="1" applyFont="1" applyBorder="1" applyAlignment="1">
      <alignment horizontal="center"/>
    </xf>
    <xf numFmtId="2" fontId="23" fillId="0" borderId="11" xfId="0" applyNumberFormat="1" applyFont="1" applyBorder="1" applyAlignment="1">
      <alignment horizontal="center"/>
    </xf>
    <xf numFmtId="2" fontId="23" fillId="0" borderId="21" xfId="0" applyNumberFormat="1" applyFont="1" applyBorder="1" applyAlignment="1">
      <alignment horizontal="center"/>
    </xf>
    <xf numFmtId="0" fontId="0" fillId="5" borderId="15" xfId="0" applyFill="1" applyBorder="1"/>
    <xf numFmtId="0" fontId="0" fillId="5" borderId="4" xfId="0" applyFill="1" applyBorder="1"/>
    <xf numFmtId="0" fontId="0" fillId="5" borderId="7" xfId="0" applyFill="1" applyBorder="1"/>
    <xf numFmtId="0" fontId="8" fillId="9" borderId="17" xfId="0" applyFont="1" applyFill="1" applyBorder="1" applyAlignment="1" applyProtection="1">
      <alignment horizontal="center"/>
      <protection locked="0"/>
    </xf>
    <xf numFmtId="0" fontId="8" fillId="9" borderId="9" xfId="0" applyFont="1" applyFill="1" applyBorder="1" applyAlignment="1" applyProtection="1">
      <alignment horizontal="center"/>
      <protection locked="0"/>
    </xf>
    <xf numFmtId="0" fontId="8" fillId="9" borderId="20" xfId="0" applyFont="1" applyFill="1" applyBorder="1" applyAlignment="1" applyProtection="1">
      <alignment horizontal="center"/>
      <protection locked="0"/>
    </xf>
    <xf numFmtId="0" fontId="12" fillId="0" borderId="0" xfId="0" applyFont="1"/>
    <xf numFmtId="0" fontId="5" fillId="0" borderId="0" xfId="0" applyFont="1"/>
    <xf numFmtId="49" fontId="27" fillId="9" borderId="16" xfId="0" applyNumberFormat="1" applyFont="1" applyFill="1" applyBorder="1" applyAlignment="1">
      <alignment horizontal="center"/>
    </xf>
    <xf numFmtId="2" fontId="27" fillId="9" borderId="17" xfId="0" applyNumberFormat="1" applyFont="1" applyFill="1" applyBorder="1" applyAlignment="1">
      <alignment horizontal="center"/>
    </xf>
    <xf numFmtId="2" fontId="27" fillId="9" borderId="18" xfId="0" applyNumberFormat="1" applyFont="1" applyFill="1" applyBorder="1" applyAlignment="1" applyProtection="1">
      <alignment horizontal="center"/>
      <protection hidden="1"/>
    </xf>
    <xf numFmtId="49" fontId="27" fillId="9" borderId="10" xfId="0" applyNumberFormat="1" applyFont="1" applyFill="1" applyBorder="1" applyAlignment="1">
      <alignment horizontal="center"/>
    </xf>
    <xf numFmtId="2" fontId="27" fillId="9" borderId="9" xfId="0" applyNumberFormat="1" applyFont="1" applyFill="1" applyBorder="1" applyAlignment="1">
      <alignment horizontal="center"/>
    </xf>
    <xf numFmtId="0" fontId="27" fillId="9" borderId="9" xfId="0" applyFont="1" applyFill="1" applyBorder="1" applyAlignment="1">
      <alignment horizontal="center"/>
    </xf>
    <xf numFmtId="2" fontId="27" fillId="9" borderId="11" xfId="0" applyNumberFormat="1" applyFont="1" applyFill="1" applyBorder="1" applyAlignment="1" applyProtection="1">
      <alignment horizontal="center"/>
      <protection hidden="1"/>
    </xf>
    <xf numFmtId="49" fontId="27" fillId="9" borderId="19" xfId="0" applyNumberFormat="1" applyFont="1" applyFill="1" applyBorder="1" applyAlignment="1">
      <alignment horizontal="center"/>
    </xf>
    <xf numFmtId="2" fontId="27" fillId="9" borderId="20" xfId="0" applyNumberFormat="1" applyFont="1" applyFill="1" applyBorder="1" applyAlignment="1">
      <alignment horizontal="center"/>
    </xf>
    <xf numFmtId="2" fontId="27" fillId="9" borderId="21" xfId="0" applyNumberFormat="1" applyFont="1" applyFill="1" applyBorder="1" applyAlignment="1" applyProtection="1">
      <alignment horizontal="center"/>
      <protection hidden="1"/>
    </xf>
    <xf numFmtId="49" fontId="27" fillId="0" borderId="10" xfId="0" applyNumberFormat="1" applyFont="1" applyFill="1" applyBorder="1" applyAlignment="1" applyProtection="1">
      <alignment horizontal="center" vertical="center"/>
      <protection hidden="1"/>
    </xf>
    <xf numFmtId="2" fontId="27" fillId="0" borderId="9" xfId="0" applyNumberFormat="1" applyFont="1" applyFill="1" applyBorder="1" applyAlignment="1" applyProtection="1">
      <alignment horizontal="center" vertical="center"/>
      <protection hidden="1"/>
    </xf>
    <xf numFmtId="166" fontId="28" fillId="0" borderId="11" xfId="0" applyNumberFormat="1" applyFont="1" applyFill="1" applyBorder="1" applyAlignment="1" applyProtection="1">
      <alignment horizontal="center" vertical="center"/>
      <protection hidden="1"/>
    </xf>
    <xf numFmtId="49" fontId="28" fillId="0" borderId="10" xfId="0" applyNumberFormat="1" applyFont="1" applyFill="1" applyBorder="1" applyAlignment="1" applyProtection="1">
      <alignment horizontal="center" vertical="center"/>
      <protection hidden="1"/>
    </xf>
    <xf numFmtId="2" fontId="28" fillId="0" borderId="9" xfId="0" applyNumberFormat="1" applyFont="1" applyFill="1" applyBorder="1" applyAlignment="1" applyProtection="1">
      <alignment horizontal="center" vertical="center"/>
      <protection hidden="1"/>
    </xf>
    <xf numFmtId="0" fontId="28" fillId="0" borderId="22" xfId="0" applyFont="1" applyFill="1" applyBorder="1" applyAlignment="1" applyProtection="1">
      <alignment horizontal="center" vertical="center"/>
      <protection hidden="1"/>
    </xf>
    <xf numFmtId="166" fontId="28" fillId="6" borderId="11" xfId="0" applyNumberFormat="1" applyFont="1" applyFill="1" applyBorder="1" applyAlignment="1" applyProtection="1">
      <alignment horizontal="center" vertical="center"/>
      <protection hidden="1"/>
    </xf>
    <xf numFmtId="2" fontId="28" fillId="0" borderId="13" xfId="0" applyNumberFormat="1" applyFont="1" applyFill="1" applyBorder="1" applyAlignment="1" applyProtection="1">
      <alignment horizontal="center" vertical="center"/>
      <protection hidden="1"/>
    </xf>
    <xf numFmtId="166" fontId="28" fillId="6" borderId="14" xfId="0" applyNumberFormat="1" applyFont="1" applyFill="1" applyBorder="1" applyAlignment="1" applyProtection="1">
      <alignment horizontal="center" vertical="center"/>
      <protection hidden="1"/>
    </xf>
    <xf numFmtId="2" fontId="29" fillId="5" borderId="6" xfId="0" applyNumberFormat="1" applyFont="1" applyFill="1" applyBorder="1" applyAlignment="1" applyProtection="1">
      <alignment horizontal="center" vertical="center"/>
      <protection hidden="1"/>
    </xf>
    <xf numFmtId="0" fontId="29" fillId="5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/>
    <xf numFmtId="0" fontId="26" fillId="0" borderId="9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9" borderId="16" xfId="0" applyFont="1" applyFill="1" applyBorder="1" applyAlignment="1">
      <alignment horizontal="center"/>
    </xf>
    <xf numFmtId="0" fontId="27" fillId="9" borderId="18" xfId="0" applyFont="1" applyFill="1" applyBorder="1" applyAlignment="1">
      <alignment horizontal="center"/>
    </xf>
    <xf numFmtId="0" fontId="27" fillId="9" borderId="10" xfId="0" applyFont="1" applyFill="1" applyBorder="1" applyAlignment="1">
      <alignment horizontal="center"/>
    </xf>
    <xf numFmtId="0" fontId="27" fillId="9" borderId="11" xfId="0" applyFont="1" applyFill="1" applyBorder="1" applyAlignment="1">
      <alignment horizontal="center"/>
    </xf>
    <xf numFmtId="2" fontId="27" fillId="9" borderId="11" xfId="0" applyNumberFormat="1" applyFont="1" applyFill="1" applyBorder="1" applyAlignment="1">
      <alignment horizontal="center"/>
    </xf>
    <xf numFmtId="0" fontId="27" fillId="9" borderId="12" xfId="0" applyFont="1" applyFill="1" applyBorder="1"/>
    <xf numFmtId="0" fontId="27" fillId="9" borderId="14" xfId="0" applyFont="1" applyFill="1" applyBorder="1"/>
    <xf numFmtId="0" fontId="27" fillId="9" borderId="13" xfId="0" applyFont="1" applyFill="1" applyBorder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 vertical="center"/>
    </xf>
    <xf numFmtId="2" fontId="8" fillId="5" borderId="1" xfId="0" applyNumberFormat="1" applyFont="1" applyFill="1" applyBorder="1" applyAlignment="1">
      <alignment horizontal="center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5" fontId="8" fillId="5" borderId="1" xfId="0" applyNumberFormat="1" applyFont="1" applyFill="1" applyBorder="1" applyAlignment="1">
      <alignment horizontal="center"/>
    </xf>
    <xf numFmtId="165" fontId="8" fillId="5" borderId="5" xfId="0" applyNumberFormat="1" applyFont="1" applyFill="1" applyBorder="1" applyAlignment="1">
      <alignment horizontal="center" vertical="center"/>
    </xf>
    <xf numFmtId="165" fontId="27" fillId="5" borderId="20" xfId="0" applyNumberFormat="1" applyFont="1" applyFill="1" applyBorder="1"/>
    <xf numFmtId="0" fontId="31" fillId="0" borderId="5" xfId="0" applyFont="1" applyBorder="1" applyAlignment="1">
      <alignment horizontal="left" vertical="center" indent="1"/>
    </xf>
    <xf numFmtId="166" fontId="18" fillId="0" borderId="1" xfId="0" applyNumberFormat="1" applyFont="1" applyBorder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0" fillId="0" borderId="0" xfId="0" applyFont="1"/>
    <xf numFmtId="2" fontId="0" fillId="0" borderId="0" xfId="0" applyNumberFormat="1" applyFont="1"/>
    <xf numFmtId="0" fontId="32" fillId="0" borderId="17" xfId="0" applyFont="1" applyBorder="1" applyAlignment="1" applyProtection="1">
      <alignment horizontal="right" vertical="center"/>
      <protection locked="0"/>
    </xf>
    <xf numFmtId="0" fontId="22" fillId="0" borderId="37" xfId="0" applyFont="1" applyBorder="1" applyAlignment="1" applyProtection="1">
      <alignment vertical="center"/>
      <protection locked="0"/>
    </xf>
    <xf numFmtId="0" fontId="33" fillId="0" borderId="38" xfId="0" applyFont="1" applyBorder="1" applyAlignment="1" applyProtection="1">
      <alignment vertical="center"/>
      <protection locked="0"/>
    </xf>
    <xf numFmtId="0" fontId="32" fillId="0" borderId="9" xfId="0" applyFont="1" applyBorder="1" applyAlignment="1">
      <alignment horizontal="right" vertical="center"/>
    </xf>
    <xf numFmtId="0" fontId="34" fillId="0" borderId="36" xfId="0" applyFont="1" applyBorder="1" applyAlignment="1">
      <alignment vertical="center"/>
    </xf>
    <xf numFmtId="0" fontId="34" fillId="0" borderId="34" xfId="0" applyFont="1" applyBorder="1" applyAlignment="1">
      <alignment vertical="center"/>
    </xf>
    <xf numFmtId="0" fontId="35" fillId="0" borderId="1" xfId="0" applyFont="1" applyBorder="1" applyAlignment="1">
      <alignment horizontal="left" vertical="center" indent="1"/>
    </xf>
    <xf numFmtId="0" fontId="35" fillId="0" borderId="1" xfId="0" applyFont="1" applyBorder="1" applyAlignment="1" applyProtection="1">
      <alignment horizontal="left" vertical="center" indent="2"/>
      <protection locked="0"/>
    </xf>
    <xf numFmtId="0" fontId="35" fillId="0" borderId="1" xfId="0" applyFont="1" applyBorder="1" applyAlignment="1">
      <alignment horizontal="left" vertical="center" indent="2"/>
    </xf>
    <xf numFmtId="0" fontId="33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8" fillId="0" borderId="17" xfId="0" applyFont="1" applyBorder="1" applyAlignment="1" applyProtection="1">
      <alignment horizontal="center" vertical="center"/>
      <protection hidden="1"/>
    </xf>
    <xf numFmtId="0" fontId="28" fillId="0" borderId="9" xfId="0" applyFont="1" applyBorder="1" applyAlignment="1" applyProtection="1">
      <alignment horizontal="center" vertical="center"/>
      <protection hidden="1"/>
    </xf>
    <xf numFmtId="166" fontId="28" fillId="0" borderId="9" xfId="0" applyNumberFormat="1" applyFont="1" applyBorder="1" applyAlignment="1" applyProtection="1">
      <alignment horizontal="center" vertical="center"/>
      <protection hidden="1"/>
    </xf>
    <xf numFmtId="166" fontId="27" fillId="0" borderId="9" xfId="0" applyNumberFormat="1" applyFont="1" applyBorder="1" applyAlignment="1" applyProtection="1">
      <alignment horizontal="center" vertical="center"/>
      <protection hidden="1"/>
    </xf>
    <xf numFmtId="2" fontId="28" fillId="0" borderId="9" xfId="0" applyNumberFormat="1" applyFont="1" applyBorder="1" applyAlignment="1" applyProtection="1">
      <alignment horizontal="center" vertical="center"/>
      <protection hidden="1"/>
    </xf>
    <xf numFmtId="2" fontId="27" fillId="0" borderId="9" xfId="0" applyNumberFormat="1" applyFont="1" applyBorder="1" applyAlignment="1" applyProtection="1">
      <alignment horizontal="center" vertical="center"/>
      <protection hidden="1"/>
    </xf>
    <xf numFmtId="2" fontId="28" fillId="0" borderId="13" xfId="0" applyNumberFormat="1" applyFont="1" applyBorder="1" applyAlignment="1" applyProtection="1">
      <alignment horizontal="center" vertical="center"/>
      <protection hidden="1"/>
    </xf>
    <xf numFmtId="166" fontId="28" fillId="0" borderId="23" xfId="0" applyNumberFormat="1" applyFont="1" applyBorder="1" applyAlignment="1" applyProtection="1">
      <alignment horizontal="center" vertical="center"/>
      <protection hidden="1"/>
    </xf>
    <xf numFmtId="0" fontId="37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49" fontId="38" fillId="0" borderId="9" xfId="0" applyNumberFormat="1" applyFont="1" applyBorder="1" applyAlignment="1">
      <alignment horizontal="center" vertical="center"/>
    </xf>
    <xf numFmtId="49" fontId="38" fillId="0" borderId="20" xfId="0" applyNumberFormat="1" applyFont="1" applyBorder="1" applyAlignment="1">
      <alignment horizontal="center" vertical="center"/>
    </xf>
    <xf numFmtId="0" fontId="39" fillId="0" borderId="0" xfId="0" applyNumberFormat="1" applyFont="1"/>
    <xf numFmtId="0" fontId="39" fillId="0" borderId="0" xfId="0" applyNumberFormat="1" applyFont="1" applyAlignment="1">
      <alignment horizontal="center" vertical="center"/>
    </xf>
    <xf numFmtId="0" fontId="38" fillId="8" borderId="22" xfId="0" applyNumberFormat="1" applyFont="1" applyFill="1" applyBorder="1" applyAlignment="1">
      <alignment horizontal="center" vertical="center"/>
    </xf>
    <xf numFmtId="0" fontId="42" fillId="8" borderId="11" xfId="0" applyNumberFormat="1" applyFont="1" applyFill="1" applyBorder="1" applyAlignment="1">
      <alignment horizontal="center"/>
    </xf>
    <xf numFmtId="0" fontId="43" fillId="0" borderId="0" xfId="0" applyNumberFormat="1" applyFont="1"/>
    <xf numFmtId="0" fontId="44" fillId="7" borderId="1" xfId="0" applyNumberFormat="1" applyFont="1" applyFill="1" applyBorder="1" applyAlignment="1">
      <alignment horizontal="center" vertical="center"/>
    </xf>
    <xf numFmtId="0" fontId="45" fillId="0" borderId="0" xfId="0" applyNumberFormat="1" applyFont="1"/>
    <xf numFmtId="49" fontId="41" fillId="8" borderId="9" xfId="0" applyNumberFormat="1" applyFont="1" applyFill="1" applyBorder="1" applyAlignment="1" applyProtection="1">
      <alignment horizontal="center"/>
      <protection locked="0"/>
    </xf>
    <xf numFmtId="49" fontId="41" fillId="8" borderId="13" xfId="0" applyNumberFormat="1" applyFont="1" applyFill="1" applyBorder="1" applyAlignment="1" applyProtection="1">
      <alignment horizontal="center"/>
      <protection locked="0"/>
    </xf>
    <xf numFmtId="0" fontId="42" fillId="8" borderId="23" xfId="0" applyNumberFormat="1" applyFont="1" applyFill="1" applyBorder="1" applyAlignment="1">
      <alignment horizontal="center" vertical="center"/>
    </xf>
    <xf numFmtId="0" fontId="42" fillId="11" borderId="1" xfId="0" applyNumberFormat="1" applyFont="1" applyFill="1" applyBorder="1" applyAlignment="1">
      <alignment horizontal="center" vertical="center"/>
    </xf>
    <xf numFmtId="0" fontId="42" fillId="11" borderId="1" xfId="0" applyNumberFormat="1" applyFont="1" applyFill="1" applyBorder="1" applyAlignment="1" applyProtection="1">
      <alignment horizontal="center" vertical="center"/>
      <protection locked="0"/>
    </xf>
    <xf numFmtId="0" fontId="42" fillId="11" borderId="15" xfId="0" applyNumberFormat="1" applyFont="1" applyFill="1" applyBorder="1" applyAlignment="1">
      <alignment horizontal="center" vertical="center"/>
    </xf>
    <xf numFmtId="49" fontId="42" fillId="8" borderId="23" xfId="0" applyNumberFormat="1" applyFont="1" applyFill="1" applyBorder="1" applyAlignment="1" applyProtection="1">
      <alignment horizontal="center" vertical="center"/>
      <protection locked="0"/>
    </xf>
    <xf numFmtId="49" fontId="42" fillId="8" borderId="9" xfId="0" applyNumberFormat="1" applyFont="1" applyFill="1" applyBorder="1" applyAlignment="1" applyProtection="1">
      <alignment horizontal="center" vertical="center"/>
      <protection locked="0"/>
    </xf>
    <xf numFmtId="49" fontId="42" fillId="8" borderId="9" xfId="0" applyNumberFormat="1" applyFont="1" applyFill="1" applyBorder="1" applyAlignment="1" applyProtection="1">
      <alignment horizontal="center"/>
      <protection locked="0"/>
    </xf>
    <xf numFmtId="0" fontId="42" fillId="8" borderId="23" xfId="0" applyNumberFormat="1" applyFont="1" applyFill="1" applyBorder="1" applyAlignment="1" applyProtection="1">
      <alignment horizontal="center" vertical="center"/>
      <protection locked="0"/>
    </xf>
    <xf numFmtId="0" fontId="39" fillId="0" borderId="0" xfId="0" applyNumberFormat="1" applyFont="1" applyAlignment="1">
      <alignment horizontal="left"/>
    </xf>
    <xf numFmtId="0" fontId="40" fillId="12" borderId="17" xfId="0" applyNumberFormat="1" applyFont="1" applyFill="1" applyBorder="1" applyAlignment="1" applyProtection="1">
      <alignment horizontal="right" vertical="center"/>
      <protection locked="0"/>
    </xf>
    <xf numFmtId="0" fontId="40" fillId="12" borderId="9" xfId="0" applyNumberFormat="1" applyFont="1" applyFill="1" applyBorder="1" applyAlignment="1">
      <alignment horizontal="right" vertical="center"/>
    </xf>
    <xf numFmtId="0" fontId="42" fillId="8" borderId="9" xfId="0" applyNumberFormat="1" applyFont="1" applyFill="1" applyBorder="1" applyAlignment="1" applyProtection="1">
      <alignment horizontal="center" vertical="center"/>
      <protection locked="0"/>
    </xf>
    <xf numFmtId="0" fontId="42" fillId="8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2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2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25" fillId="7" borderId="5" xfId="0" applyFont="1" applyFill="1" applyBorder="1" applyAlignment="1">
      <alignment horizontal="center" vertical="center"/>
    </xf>
    <xf numFmtId="0" fontId="25" fillId="7" borderId="6" xfId="0" applyFont="1" applyFill="1" applyBorder="1" applyAlignment="1">
      <alignment horizontal="center" vertical="center"/>
    </xf>
    <xf numFmtId="0" fontId="27" fillId="5" borderId="5" xfId="0" applyFont="1" applyFill="1" applyBorder="1" applyAlignment="1" applyProtection="1">
      <alignment horizontal="center" vertical="center"/>
      <protection locked="0"/>
    </xf>
    <xf numFmtId="0" fontId="27" fillId="5" borderId="6" xfId="0" applyFont="1" applyFill="1" applyBorder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  <protection locked="0"/>
    </xf>
    <xf numFmtId="0" fontId="8" fillId="5" borderId="6" xfId="0" applyFont="1" applyFill="1" applyBorder="1" applyAlignment="1" applyProtection="1">
      <alignment horizontal="center" vertical="center"/>
      <protection locked="0"/>
    </xf>
    <xf numFmtId="0" fontId="1" fillId="4" borderId="15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7" fillId="5" borderId="1" xfId="0" applyFont="1" applyFill="1" applyBorder="1" applyAlignment="1">
      <alignment horizontal="center"/>
    </xf>
    <xf numFmtId="0" fontId="25" fillId="7" borderId="1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 vertical="center"/>
    </xf>
    <xf numFmtId="0" fontId="25" fillId="7" borderId="5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30" fillId="3" borderId="3" xfId="0" applyFont="1" applyFill="1" applyBorder="1" applyAlignment="1">
      <alignment horizontal="center" vertical="center"/>
    </xf>
    <xf numFmtId="0" fontId="30" fillId="3" borderId="8" xfId="0" applyFont="1" applyFill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3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2" fillId="0" borderId="10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32" xfId="0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49" fontId="36" fillId="0" borderId="1" xfId="0" applyNumberFormat="1" applyFont="1" applyBorder="1" applyAlignment="1">
      <alignment horizontal="center" vertical="center"/>
    </xf>
    <xf numFmtId="0" fontId="19" fillId="6" borderId="9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top"/>
    </xf>
    <xf numFmtId="0" fontId="12" fillId="0" borderId="0" xfId="0" applyFont="1"/>
    <xf numFmtId="0" fontId="18" fillId="0" borderId="27" xfId="0" applyFont="1" applyBorder="1" applyAlignment="1">
      <alignment horizontal="right" vertical="center"/>
    </xf>
    <xf numFmtId="0" fontId="18" fillId="0" borderId="20" xfId="0" applyFont="1" applyBorder="1" applyAlignment="1">
      <alignment horizontal="right" vertical="center"/>
    </xf>
    <xf numFmtId="0" fontId="18" fillId="0" borderId="26" xfId="0" applyFont="1" applyBorder="1" applyAlignment="1">
      <alignment horizontal="right" vertical="center"/>
    </xf>
    <xf numFmtId="0" fontId="12" fillId="0" borderId="31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40" fillId="13" borderId="16" xfId="0" applyNumberFormat="1" applyFont="1" applyFill="1" applyBorder="1" applyAlignment="1">
      <alignment horizontal="center" vertical="center"/>
    </xf>
    <xf numFmtId="0" fontId="40" fillId="13" borderId="17" xfId="0" applyNumberFormat="1" applyFont="1" applyFill="1" applyBorder="1" applyAlignment="1">
      <alignment horizontal="center" vertical="center"/>
    </xf>
    <xf numFmtId="0" fontId="46" fillId="12" borderId="10" xfId="0" applyNumberFormat="1" applyFont="1" applyFill="1" applyBorder="1" applyAlignment="1" applyProtection="1">
      <alignment horizontal="center" vertical="center"/>
      <protection locked="0"/>
    </xf>
    <xf numFmtId="0" fontId="46" fillId="12" borderId="9" xfId="0" applyNumberFormat="1" applyFont="1" applyFill="1" applyBorder="1" applyAlignment="1" applyProtection="1">
      <alignment horizontal="center" vertical="center"/>
      <protection locked="0"/>
    </xf>
    <xf numFmtId="0" fontId="46" fillId="12" borderId="37" xfId="0" applyNumberFormat="1" applyFont="1" applyFill="1" applyBorder="1" applyAlignment="1" applyProtection="1">
      <alignment horizontal="center" vertical="center"/>
      <protection locked="0"/>
    </xf>
    <xf numFmtId="0" fontId="46" fillId="12" borderId="38" xfId="0" applyNumberFormat="1" applyFont="1" applyFill="1" applyBorder="1" applyAlignment="1" applyProtection="1">
      <alignment horizontal="center" vertical="center"/>
      <protection locked="0"/>
    </xf>
    <xf numFmtId="0" fontId="44" fillId="7" borderId="5" xfId="0" applyNumberFormat="1" applyFont="1" applyFill="1" applyBorder="1" applyAlignment="1">
      <alignment horizontal="left" vertical="center"/>
    </xf>
    <xf numFmtId="0" fontId="44" fillId="7" borderId="24" xfId="0" applyNumberFormat="1" applyFont="1" applyFill="1" applyBorder="1" applyAlignment="1">
      <alignment horizontal="left" vertical="center"/>
    </xf>
    <xf numFmtId="0" fontId="44" fillId="7" borderId="6" xfId="0" applyNumberFormat="1" applyFont="1" applyFill="1" applyBorder="1" applyAlignment="1">
      <alignment horizontal="left" vertical="center"/>
    </xf>
    <xf numFmtId="0" fontId="46" fillId="12" borderId="36" xfId="0" applyNumberFormat="1" applyFont="1" applyFill="1" applyBorder="1" applyAlignment="1" applyProtection="1">
      <alignment horizontal="center" vertical="center"/>
      <protection locked="0"/>
    </xf>
    <xf numFmtId="0" fontId="46" fillId="12" borderId="34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004C0"/>
      <color rgb="FFFEF6F0"/>
      <color rgb="FFFFFFC1"/>
      <color rgb="FFFFFF81"/>
      <color rgb="FF29BD77"/>
      <color rgb="FF18CE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19050</xdr:colOff>
      <xdr:row>1</xdr:row>
      <xdr:rowOff>0</xdr:rowOff>
    </xdr:from>
    <xdr:to>
      <xdr:col>10</xdr:col>
      <xdr:colOff>600075</xdr:colOff>
      <xdr:row>3</xdr:row>
      <xdr:rowOff>9525</xdr:rowOff>
    </xdr:to>
    <xdr:sp macro="[0]!RowHide" textlink="">
      <xdr:nvSpPr>
        <xdr:cNvPr id="2" name="Rectangle 1">
          <a:extLst>
            <a:ext uri="{FF2B5EF4-FFF2-40B4-BE49-F238E27FC236}">
              <a16:creationId xmlns:a16="http://schemas.microsoft.com/office/drawing/2014/main" id="{FA0843C7-ECDD-7BF1-F395-EB110A49512E}"/>
            </a:ext>
          </a:extLst>
        </xdr:cNvPr>
        <xdr:cNvSpPr/>
      </xdr:nvSpPr>
      <xdr:spPr>
        <a:xfrm>
          <a:off x="7124700" y="209550"/>
          <a:ext cx="1190625" cy="504825"/>
        </a:xfrm>
        <a:prstGeom prst="rect">
          <a:avLst/>
        </a:prstGeom>
        <a:ln>
          <a:noFill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accent3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HIDE</a:t>
          </a:r>
        </a:p>
      </xdr:txBody>
    </xdr:sp>
    <xdr:clientData/>
  </xdr:twoCellAnchor>
  <xdr:twoCellAnchor editAs="absolute">
    <xdr:from>
      <xdr:col>11</xdr:col>
      <xdr:colOff>600075</xdr:colOff>
      <xdr:row>1</xdr:row>
      <xdr:rowOff>9525</xdr:rowOff>
    </xdr:from>
    <xdr:to>
      <xdr:col>14</xdr:col>
      <xdr:colOff>0</xdr:colOff>
      <xdr:row>3</xdr:row>
      <xdr:rowOff>0</xdr:rowOff>
    </xdr:to>
    <xdr:sp macro="[0]!RowUnhide" textlink="">
      <xdr:nvSpPr>
        <xdr:cNvPr id="3" name="Rectangle 2">
          <a:extLst>
            <a:ext uri="{FF2B5EF4-FFF2-40B4-BE49-F238E27FC236}">
              <a16:creationId xmlns:a16="http://schemas.microsoft.com/office/drawing/2014/main" id="{A3C50591-CA02-82A6-31D1-28E24B7FEA94}"/>
            </a:ext>
          </a:extLst>
        </xdr:cNvPr>
        <xdr:cNvSpPr/>
      </xdr:nvSpPr>
      <xdr:spPr>
        <a:xfrm>
          <a:off x="8924925" y="219075"/>
          <a:ext cx="1228725" cy="485775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UNHIDE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DA0AB2-EAA2-40BD-92BA-FE5489163799}" name="SizeTable" displayName="SizeTable" ref="A1:C100" totalsRowShown="0" headerRowDxfId="5" dataDxfId="4" tableBorderDxfId="3">
  <tableColumns count="3">
    <tableColumn id="1" xr3:uid="{6FF43096-E106-41F6-870E-A9973B70E6CF}" name="M.M." dataDxfId="2"/>
    <tableColumn id="2" xr3:uid="{6FA2269D-DDF9-4059-8B19-311388B460E9}" name="SEIVE" dataDxfId="1"/>
    <tableColumn id="3" xr3:uid="{CDC6CE92-822C-4446-9B34-4AE78A7EDE2B}" name="WT" dataDxfId="0"/>
  </tableColumns>
  <tableStyleInfo name="TableStyleDark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14"/>
  <sheetViews>
    <sheetView showGridLines="0" topLeftCell="A62" zoomScaleNormal="100" workbookViewId="0">
      <selection activeCell="H84" sqref="H84"/>
    </sheetView>
  </sheetViews>
  <sheetFormatPr defaultColWidth="8.7109375" defaultRowHeight="14.25" x14ac:dyDescent="0.2"/>
  <cols>
    <col min="1" max="3" width="8.7109375" style="1"/>
    <col min="4" max="4" width="2.7109375" style="1" customWidth="1"/>
    <col min="5" max="5" width="10.7109375" style="1" customWidth="1"/>
    <col min="6" max="6" width="8.7109375" style="1"/>
    <col min="7" max="7" width="2.7109375" style="1" customWidth="1"/>
    <col min="8" max="8" width="10.7109375" style="1" customWidth="1"/>
    <col min="9" max="12" width="8.7109375" style="1" customWidth="1"/>
    <col min="13" max="13" width="2.7109375" style="1" customWidth="1"/>
    <col min="14" max="14" width="8.7109375" style="1"/>
    <col min="15" max="15" width="10.42578125" style="1" customWidth="1"/>
    <col min="16" max="16" width="10.7109375" style="1" customWidth="1"/>
    <col min="17" max="16384" width="8.7109375" style="1"/>
  </cols>
  <sheetData>
    <row r="1" spans="1:22" ht="14.25" customHeight="1" x14ac:dyDescent="0.2">
      <c r="A1" s="174" t="s">
        <v>55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</row>
    <row r="2" spans="1:22" ht="14.25" customHeight="1" x14ac:dyDescent="0.2">
      <c r="A2" s="174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</row>
    <row r="3" spans="1:22" ht="15" customHeight="1" thickBot="1" x14ac:dyDescent="0.25">
      <c r="A3" s="174"/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</row>
    <row r="4" spans="1:22" ht="25.15" customHeight="1" thickBot="1" x14ac:dyDescent="0.25">
      <c r="A4" s="176" t="s">
        <v>0</v>
      </c>
      <c r="B4" s="176"/>
      <c r="C4" s="176"/>
      <c r="D4" s="180"/>
      <c r="E4" s="176" t="s">
        <v>45</v>
      </c>
      <c r="F4" s="176"/>
      <c r="G4" s="189"/>
      <c r="H4" s="176" t="s">
        <v>4</v>
      </c>
      <c r="I4" s="176"/>
      <c r="J4" s="176"/>
      <c r="K4" s="176"/>
      <c r="L4" s="176"/>
      <c r="M4" s="180"/>
      <c r="N4" s="198" t="s">
        <v>2</v>
      </c>
      <c r="O4" s="199"/>
      <c r="P4" s="199"/>
      <c r="Q4" s="199"/>
      <c r="U4" s="2"/>
      <c r="V4" s="2"/>
    </row>
    <row r="5" spans="1:22" ht="19.899999999999999" customHeight="1" thickBot="1" x14ac:dyDescent="0.3">
      <c r="A5" s="116" t="s">
        <v>67</v>
      </c>
      <c r="B5" s="116" t="s">
        <v>48</v>
      </c>
      <c r="C5" s="116" t="s">
        <v>49</v>
      </c>
      <c r="D5" s="181"/>
      <c r="E5" s="114" t="s">
        <v>44</v>
      </c>
      <c r="F5" s="114" t="s">
        <v>46</v>
      </c>
      <c r="G5" s="190"/>
      <c r="H5" s="114" t="s">
        <v>43</v>
      </c>
      <c r="I5" s="114" t="s">
        <v>1</v>
      </c>
      <c r="J5" s="114" t="s">
        <v>65</v>
      </c>
      <c r="K5" s="114" t="s">
        <v>86</v>
      </c>
      <c r="L5" s="114" t="s">
        <v>87</v>
      </c>
      <c r="M5" s="181"/>
      <c r="N5" s="115" t="s">
        <v>57</v>
      </c>
      <c r="O5" s="115" t="s">
        <v>58</v>
      </c>
      <c r="P5" s="115" t="s">
        <v>1</v>
      </c>
      <c r="Q5" s="115" t="s">
        <v>61</v>
      </c>
      <c r="T5" s="2"/>
      <c r="U5" s="2"/>
      <c r="V5" s="2"/>
    </row>
    <row r="6" spans="1:22" ht="16.899999999999999" customHeight="1" thickBot="1" x14ac:dyDescent="0.3">
      <c r="A6" s="106">
        <v>1</v>
      </c>
      <c r="B6" s="82">
        <v>13</v>
      </c>
      <c r="C6" s="107">
        <v>41</v>
      </c>
      <c r="D6" s="181"/>
      <c r="E6" s="106">
        <v>1</v>
      </c>
      <c r="F6" s="107">
        <v>7.62</v>
      </c>
      <c r="G6" s="190"/>
      <c r="H6" s="81" t="s">
        <v>64</v>
      </c>
      <c r="I6" s="82">
        <v>0.8</v>
      </c>
      <c r="J6" s="140">
        <v>3.0000000000000001E-3</v>
      </c>
      <c r="K6" s="76"/>
      <c r="L6" s="83">
        <f>J6*K6</f>
        <v>0</v>
      </c>
      <c r="M6" s="181"/>
      <c r="N6" s="120"/>
      <c r="O6" s="120"/>
      <c r="P6" s="122">
        <f>(25.4*N6)+(1.5875*O6)</f>
        <v>0</v>
      </c>
      <c r="Q6" s="123">
        <f>P6*3.142</f>
        <v>0</v>
      </c>
      <c r="T6" s="2"/>
      <c r="U6" s="2"/>
      <c r="V6" s="2"/>
    </row>
    <row r="7" spans="1:22" ht="16.899999999999999" customHeight="1" thickBot="1" x14ac:dyDescent="0.3">
      <c r="A7" s="108">
        <v>2</v>
      </c>
      <c r="B7" s="85">
        <v>13.4</v>
      </c>
      <c r="C7" s="109">
        <v>42</v>
      </c>
      <c r="D7" s="181"/>
      <c r="E7" s="108">
        <v>2</v>
      </c>
      <c r="F7" s="109">
        <v>7.01</v>
      </c>
      <c r="G7" s="190"/>
      <c r="H7" s="84" t="s">
        <v>8</v>
      </c>
      <c r="I7" s="85">
        <v>0.9</v>
      </c>
      <c r="J7" s="141">
        <v>4.0000000000000001E-3</v>
      </c>
      <c r="K7" s="77"/>
      <c r="L7" s="87">
        <f t="shared" ref="L7:L41" si="0">J7*K7</f>
        <v>0</v>
      </c>
      <c r="M7" s="181"/>
      <c r="N7" s="192" t="s">
        <v>3</v>
      </c>
      <c r="O7" s="192"/>
      <c r="P7" s="192"/>
      <c r="Q7" s="73"/>
    </row>
    <row r="8" spans="1:22" ht="16.899999999999999" customHeight="1" thickBot="1" x14ac:dyDescent="0.3">
      <c r="A8" s="108">
        <v>3</v>
      </c>
      <c r="B8" s="85">
        <v>13.7</v>
      </c>
      <c r="C8" s="109">
        <v>43</v>
      </c>
      <c r="D8" s="181"/>
      <c r="E8" s="108">
        <v>3</v>
      </c>
      <c r="F8" s="110">
        <v>6.4</v>
      </c>
      <c r="G8" s="190"/>
      <c r="H8" s="84" t="s">
        <v>9</v>
      </c>
      <c r="I8" s="85">
        <v>1</v>
      </c>
      <c r="J8" s="141">
        <v>5.0000000000000001E-3</v>
      </c>
      <c r="K8" s="77"/>
      <c r="L8" s="87">
        <f t="shared" si="0"/>
        <v>0</v>
      </c>
      <c r="M8" s="181"/>
      <c r="N8" s="196" t="s">
        <v>59</v>
      </c>
      <c r="O8" s="197"/>
      <c r="P8" s="114" t="s">
        <v>60</v>
      </c>
      <c r="Q8" s="74"/>
    </row>
    <row r="9" spans="1:22" ht="16.899999999999999" customHeight="1" thickBot="1" x14ac:dyDescent="0.3">
      <c r="A9" s="108">
        <v>4</v>
      </c>
      <c r="B9" s="85">
        <v>14</v>
      </c>
      <c r="C9" s="109">
        <v>44</v>
      </c>
      <c r="D9" s="181"/>
      <c r="E9" s="108">
        <v>4</v>
      </c>
      <c r="F9" s="109">
        <v>5.89</v>
      </c>
      <c r="G9" s="190"/>
      <c r="H9" s="84" t="s">
        <v>10</v>
      </c>
      <c r="I9" s="85">
        <v>1.1000000000000001</v>
      </c>
      <c r="J9" s="142">
        <v>6.0000000000000001E-3</v>
      </c>
      <c r="K9" s="77"/>
      <c r="L9" s="87">
        <f t="shared" si="0"/>
        <v>0</v>
      </c>
      <c r="M9" s="181"/>
      <c r="N9" s="187"/>
      <c r="O9" s="188"/>
      <c r="P9" s="121">
        <f>N9*25.4/3.142</f>
        <v>0</v>
      </c>
      <c r="Q9" s="74"/>
    </row>
    <row r="10" spans="1:22" ht="16.899999999999999" customHeight="1" thickBot="1" x14ac:dyDescent="0.3">
      <c r="A10" s="108">
        <v>5</v>
      </c>
      <c r="B10" s="85">
        <v>14.3</v>
      </c>
      <c r="C10" s="109">
        <v>45</v>
      </c>
      <c r="D10" s="181"/>
      <c r="E10" s="108">
        <v>5</v>
      </c>
      <c r="F10" s="109">
        <v>5.39</v>
      </c>
      <c r="G10" s="190"/>
      <c r="H10" s="84" t="s">
        <v>11</v>
      </c>
      <c r="I10" s="86">
        <v>1.1499999999999999</v>
      </c>
      <c r="J10" s="142">
        <v>7.0000000000000001E-3</v>
      </c>
      <c r="K10" s="77"/>
      <c r="L10" s="87">
        <f t="shared" si="0"/>
        <v>0</v>
      </c>
      <c r="M10" s="181"/>
      <c r="N10" s="192" t="s">
        <v>47</v>
      </c>
      <c r="O10" s="192"/>
      <c r="P10" s="192"/>
      <c r="Q10" s="74"/>
    </row>
    <row r="11" spans="1:22" ht="16.899999999999999" customHeight="1" thickBot="1" x14ac:dyDescent="0.3">
      <c r="A11" s="108">
        <v>6</v>
      </c>
      <c r="B11" s="85">
        <v>14.6</v>
      </c>
      <c r="C11" s="109">
        <v>46</v>
      </c>
      <c r="D11" s="181"/>
      <c r="E11" s="108">
        <v>6</v>
      </c>
      <c r="F11" s="109">
        <v>4.88</v>
      </c>
      <c r="G11" s="190"/>
      <c r="H11" s="84" t="s">
        <v>12</v>
      </c>
      <c r="I11" s="85">
        <v>1.2</v>
      </c>
      <c r="J11" s="142">
        <v>8.0000000000000002E-3</v>
      </c>
      <c r="K11" s="77"/>
      <c r="L11" s="87">
        <f t="shared" si="0"/>
        <v>0</v>
      </c>
      <c r="M11" s="181"/>
      <c r="N11" s="115" t="s">
        <v>61</v>
      </c>
      <c r="O11" s="115" t="s">
        <v>63</v>
      </c>
      <c r="P11" s="115" t="s">
        <v>62</v>
      </c>
      <c r="Q11" s="74"/>
    </row>
    <row r="12" spans="1:22" ht="16.899999999999999" customHeight="1" thickBot="1" x14ac:dyDescent="0.3">
      <c r="A12" s="108">
        <v>7</v>
      </c>
      <c r="B12" s="85">
        <v>15</v>
      </c>
      <c r="C12" s="109">
        <v>47</v>
      </c>
      <c r="D12" s="181"/>
      <c r="E12" s="108">
        <v>7</v>
      </c>
      <c r="F12" s="109">
        <v>4.47</v>
      </c>
      <c r="G12" s="190"/>
      <c r="H12" s="84" t="s">
        <v>13</v>
      </c>
      <c r="I12" s="86">
        <v>1.25</v>
      </c>
      <c r="J12" s="142">
        <v>8.9999999999999993E-3</v>
      </c>
      <c r="K12" s="77"/>
      <c r="L12" s="87">
        <f t="shared" si="0"/>
        <v>0</v>
      </c>
      <c r="M12" s="181"/>
      <c r="N12" s="120"/>
      <c r="O12" s="119">
        <f>N12/3.142</f>
        <v>0</v>
      </c>
      <c r="P12" s="119">
        <f>(N12/3.142)/2</f>
        <v>0</v>
      </c>
      <c r="Q12" s="74"/>
    </row>
    <row r="13" spans="1:22" ht="16.899999999999999" customHeight="1" thickBot="1" x14ac:dyDescent="0.3">
      <c r="A13" s="108">
        <v>8</v>
      </c>
      <c r="B13" s="85">
        <v>15.3</v>
      </c>
      <c r="C13" s="109">
        <v>48</v>
      </c>
      <c r="D13" s="181"/>
      <c r="E13" s="108">
        <v>8</v>
      </c>
      <c r="F13" s="109">
        <v>4.0599999999999996</v>
      </c>
      <c r="G13" s="190"/>
      <c r="H13" s="84" t="s">
        <v>14</v>
      </c>
      <c r="I13" s="85">
        <v>1.3</v>
      </c>
      <c r="J13" s="142">
        <v>0.01</v>
      </c>
      <c r="K13" s="77"/>
      <c r="L13" s="87">
        <f t="shared" si="0"/>
        <v>0</v>
      </c>
      <c r="M13" s="181"/>
      <c r="N13" s="192" t="s">
        <v>56</v>
      </c>
      <c r="O13" s="192"/>
      <c r="P13" s="192"/>
      <c r="Q13" s="74"/>
    </row>
    <row r="14" spans="1:22" ht="16.899999999999999" customHeight="1" thickBot="1" x14ac:dyDescent="0.3">
      <c r="A14" s="108">
        <v>9</v>
      </c>
      <c r="B14" s="85">
        <v>15.6</v>
      </c>
      <c r="C14" s="109">
        <v>49</v>
      </c>
      <c r="D14" s="181"/>
      <c r="E14" s="108">
        <v>9</v>
      </c>
      <c r="F14" s="109">
        <v>3.66</v>
      </c>
      <c r="G14" s="190"/>
      <c r="H14" s="84" t="s">
        <v>15</v>
      </c>
      <c r="I14" s="86">
        <v>1.35</v>
      </c>
      <c r="J14" s="142">
        <v>1.0999999999999999E-2</v>
      </c>
      <c r="K14" s="77"/>
      <c r="L14" s="87">
        <f t="shared" si="0"/>
        <v>0</v>
      </c>
      <c r="M14" s="181"/>
      <c r="N14" s="194" t="s">
        <v>50</v>
      </c>
      <c r="O14" s="194"/>
      <c r="P14" s="118"/>
      <c r="Q14" s="74"/>
    </row>
    <row r="15" spans="1:22" ht="16.899999999999999" customHeight="1" thickBot="1" x14ac:dyDescent="0.3">
      <c r="A15" s="108">
        <v>10</v>
      </c>
      <c r="B15" s="85">
        <v>15.9</v>
      </c>
      <c r="C15" s="109">
        <v>50</v>
      </c>
      <c r="D15" s="181"/>
      <c r="E15" s="108">
        <v>10</v>
      </c>
      <c r="F15" s="109">
        <v>3.25</v>
      </c>
      <c r="G15" s="190"/>
      <c r="H15" s="84" t="s">
        <v>16</v>
      </c>
      <c r="I15" s="85">
        <v>1.4</v>
      </c>
      <c r="J15" s="142">
        <v>1.2E-2</v>
      </c>
      <c r="K15" s="77"/>
      <c r="L15" s="87">
        <f t="shared" si="0"/>
        <v>0</v>
      </c>
      <c r="M15" s="181"/>
      <c r="N15" s="193" t="s">
        <v>71</v>
      </c>
      <c r="O15" s="193"/>
      <c r="P15" s="117">
        <f>(P14*0.92)*(12.8/1000)</f>
        <v>0</v>
      </c>
      <c r="Q15" s="74"/>
    </row>
    <row r="16" spans="1:22" ht="16.899999999999999" customHeight="1" thickBot="1" x14ac:dyDescent="0.3">
      <c r="A16" s="108">
        <v>11</v>
      </c>
      <c r="B16" s="85">
        <v>16.2</v>
      </c>
      <c r="C16" s="109">
        <v>51</v>
      </c>
      <c r="D16" s="181"/>
      <c r="E16" s="108">
        <v>11</v>
      </c>
      <c r="F16" s="109">
        <v>2.95</v>
      </c>
      <c r="G16" s="190"/>
      <c r="H16" s="84" t="s">
        <v>17</v>
      </c>
      <c r="I16" s="86">
        <v>1.45</v>
      </c>
      <c r="J16" s="142">
        <v>1.4E-2</v>
      </c>
      <c r="K16" s="77"/>
      <c r="L16" s="87">
        <f t="shared" si="0"/>
        <v>0</v>
      </c>
      <c r="M16" s="181"/>
      <c r="N16" s="193" t="s">
        <v>72</v>
      </c>
      <c r="O16" s="193"/>
      <c r="P16" s="117">
        <f>(P14*0.92)*(15/1000)</f>
        <v>0</v>
      </c>
      <c r="Q16" s="74"/>
    </row>
    <row r="17" spans="1:25" ht="16.899999999999999" customHeight="1" thickBot="1" x14ac:dyDescent="0.3">
      <c r="A17" s="108">
        <v>12</v>
      </c>
      <c r="B17" s="85">
        <v>16.5</v>
      </c>
      <c r="C17" s="109">
        <v>52</v>
      </c>
      <c r="D17" s="181"/>
      <c r="E17" s="108">
        <v>12</v>
      </c>
      <c r="F17" s="109">
        <v>2.64</v>
      </c>
      <c r="G17" s="190"/>
      <c r="H17" s="84" t="s">
        <v>18</v>
      </c>
      <c r="I17" s="85">
        <v>1.5</v>
      </c>
      <c r="J17" s="142">
        <v>1.4999999999999999E-2</v>
      </c>
      <c r="K17" s="77"/>
      <c r="L17" s="87">
        <f t="shared" si="0"/>
        <v>0</v>
      </c>
      <c r="M17" s="181"/>
      <c r="N17" s="193" t="s">
        <v>73</v>
      </c>
      <c r="O17" s="193"/>
      <c r="P17" s="117">
        <f>P14*16/1000</f>
        <v>0</v>
      </c>
      <c r="Q17" s="74"/>
    </row>
    <row r="18" spans="1:25" ht="16.899999999999999" customHeight="1" thickBot="1" x14ac:dyDescent="0.3">
      <c r="A18" s="108">
        <v>13</v>
      </c>
      <c r="B18" s="85">
        <v>16.8</v>
      </c>
      <c r="C18" s="109">
        <v>53</v>
      </c>
      <c r="D18" s="181"/>
      <c r="E18" s="108">
        <v>13</v>
      </c>
      <c r="F18" s="109">
        <v>2.34</v>
      </c>
      <c r="G18" s="190"/>
      <c r="H18" s="84" t="s">
        <v>19</v>
      </c>
      <c r="I18" s="86">
        <v>1.55</v>
      </c>
      <c r="J18" s="142">
        <v>1.6E-2</v>
      </c>
      <c r="K18" s="77"/>
      <c r="L18" s="87">
        <f t="shared" si="0"/>
        <v>0</v>
      </c>
      <c r="M18" s="181"/>
      <c r="N18" s="177" t="s">
        <v>70</v>
      </c>
      <c r="O18" s="178"/>
      <c r="P18" s="179"/>
      <c r="Q18" s="74"/>
    </row>
    <row r="19" spans="1:25" ht="16.899999999999999" customHeight="1" thickBot="1" x14ac:dyDescent="0.3">
      <c r="A19" s="108">
        <v>14</v>
      </c>
      <c r="B19" s="85">
        <v>17.2</v>
      </c>
      <c r="C19" s="109">
        <v>54</v>
      </c>
      <c r="D19" s="181"/>
      <c r="E19" s="108">
        <v>14</v>
      </c>
      <c r="F19" s="109">
        <v>2.0299999999999998</v>
      </c>
      <c r="G19" s="190"/>
      <c r="H19" s="84" t="s">
        <v>20</v>
      </c>
      <c r="I19" s="85">
        <v>1.6</v>
      </c>
      <c r="J19" s="142">
        <v>1.7999999999999999E-2</v>
      </c>
      <c r="K19" s="77"/>
      <c r="L19" s="87">
        <f t="shared" si="0"/>
        <v>0</v>
      </c>
      <c r="M19" s="181"/>
      <c r="N19" s="183" t="s">
        <v>70</v>
      </c>
      <c r="O19" s="184"/>
      <c r="P19" s="114" t="s">
        <v>69</v>
      </c>
      <c r="Q19" s="74"/>
    </row>
    <row r="20" spans="1:25" ht="16.899999999999999" customHeight="1" thickBot="1" x14ac:dyDescent="0.3">
      <c r="A20" s="108">
        <v>15</v>
      </c>
      <c r="B20" s="85">
        <v>17.5</v>
      </c>
      <c r="C20" s="109">
        <v>55</v>
      </c>
      <c r="D20" s="181"/>
      <c r="E20" s="108">
        <v>15</v>
      </c>
      <c r="F20" s="109">
        <v>1.83</v>
      </c>
      <c r="G20" s="190"/>
      <c r="H20" s="84" t="s">
        <v>21</v>
      </c>
      <c r="I20" s="85">
        <v>1.7</v>
      </c>
      <c r="J20" s="142">
        <v>0.02</v>
      </c>
      <c r="K20" s="77"/>
      <c r="L20" s="87">
        <f t="shared" si="0"/>
        <v>0</v>
      </c>
      <c r="M20" s="181"/>
      <c r="N20" s="185">
        <v>0</v>
      </c>
      <c r="O20" s="186"/>
      <c r="P20" s="119">
        <f>N20/6</f>
        <v>0</v>
      </c>
      <c r="Q20" s="75"/>
    </row>
    <row r="21" spans="1:25" ht="16.899999999999999" customHeight="1" x14ac:dyDescent="0.25">
      <c r="A21" s="108">
        <v>16</v>
      </c>
      <c r="B21" s="85">
        <v>17.8</v>
      </c>
      <c r="C21" s="109">
        <v>56</v>
      </c>
      <c r="D21" s="181"/>
      <c r="E21" s="108">
        <v>16</v>
      </c>
      <c r="F21" s="109">
        <v>1.63</v>
      </c>
      <c r="G21" s="190"/>
      <c r="H21" s="84" t="s">
        <v>22</v>
      </c>
      <c r="I21" s="85">
        <v>1.8</v>
      </c>
      <c r="J21" s="147">
        <v>2.5000000000000001E-2</v>
      </c>
      <c r="K21" s="77"/>
      <c r="L21" s="87">
        <f t="shared" si="0"/>
        <v>0</v>
      </c>
      <c r="M21" s="181"/>
      <c r="N21"/>
      <c r="O21"/>
      <c r="P21"/>
      <c r="Q21"/>
    </row>
    <row r="22" spans="1:25" ht="16.899999999999999" customHeight="1" x14ac:dyDescent="0.25">
      <c r="A22" s="108">
        <v>17</v>
      </c>
      <c r="B22" s="85">
        <v>18.100000000000001</v>
      </c>
      <c r="C22" s="109">
        <v>57</v>
      </c>
      <c r="D22" s="181"/>
      <c r="E22" s="108">
        <v>17</v>
      </c>
      <c r="F22" s="109">
        <v>1.42</v>
      </c>
      <c r="G22" s="190"/>
      <c r="H22" s="84" t="s">
        <v>23</v>
      </c>
      <c r="I22" s="85">
        <v>1.9</v>
      </c>
      <c r="J22" s="142">
        <v>0.03</v>
      </c>
      <c r="K22" s="77"/>
      <c r="L22" s="87">
        <f t="shared" si="0"/>
        <v>0</v>
      </c>
      <c r="M22" s="181"/>
    </row>
    <row r="23" spans="1:25" ht="16.899999999999999" customHeight="1" x14ac:dyDescent="0.25">
      <c r="A23" s="108">
        <v>18</v>
      </c>
      <c r="B23" s="85">
        <v>18.399999999999999</v>
      </c>
      <c r="C23" s="109">
        <v>58</v>
      </c>
      <c r="D23" s="181"/>
      <c r="E23" s="108">
        <v>18</v>
      </c>
      <c r="F23" s="109">
        <v>1.22</v>
      </c>
      <c r="G23" s="190"/>
      <c r="H23" s="84" t="s">
        <v>24</v>
      </c>
      <c r="I23" s="85">
        <v>2</v>
      </c>
      <c r="J23" s="142">
        <v>3.5000000000000003E-2</v>
      </c>
      <c r="K23" s="77"/>
      <c r="L23" s="87">
        <f t="shared" si="0"/>
        <v>0</v>
      </c>
      <c r="M23" s="181"/>
    </row>
    <row r="24" spans="1:25" ht="16.899999999999999" customHeight="1" x14ac:dyDescent="0.25">
      <c r="A24" s="108">
        <v>19</v>
      </c>
      <c r="B24" s="85">
        <v>18.8</v>
      </c>
      <c r="C24" s="109">
        <v>59</v>
      </c>
      <c r="D24" s="181"/>
      <c r="E24" s="108">
        <v>19</v>
      </c>
      <c r="F24" s="109">
        <v>1.02</v>
      </c>
      <c r="G24" s="190"/>
      <c r="H24" s="84" t="s">
        <v>25</v>
      </c>
      <c r="I24" s="85">
        <v>2.1</v>
      </c>
      <c r="J24" s="142">
        <v>0.04</v>
      </c>
      <c r="K24" s="77"/>
      <c r="L24" s="87">
        <f t="shared" si="0"/>
        <v>0</v>
      </c>
      <c r="M24" s="181"/>
    </row>
    <row r="25" spans="1:25" ht="16.899999999999999" customHeight="1" x14ac:dyDescent="0.25">
      <c r="A25" s="108">
        <v>20</v>
      </c>
      <c r="B25" s="85">
        <v>19.100000000000001</v>
      </c>
      <c r="C25" s="109">
        <v>60</v>
      </c>
      <c r="D25" s="181"/>
      <c r="E25" s="108">
        <v>20</v>
      </c>
      <c r="F25" s="109">
        <v>0.91</v>
      </c>
      <c r="G25" s="190"/>
      <c r="H25" s="84" t="s">
        <v>26</v>
      </c>
      <c r="I25" s="85">
        <v>2.2000000000000002</v>
      </c>
      <c r="J25" s="142">
        <v>4.4999999999999998E-2</v>
      </c>
      <c r="K25" s="77"/>
      <c r="L25" s="87">
        <f t="shared" si="0"/>
        <v>0</v>
      </c>
      <c r="M25" s="181"/>
      <c r="Y25" s="3"/>
    </row>
    <row r="26" spans="1:25" ht="16.899999999999999" customHeight="1" x14ac:dyDescent="0.25">
      <c r="A26" s="108">
        <v>21</v>
      </c>
      <c r="B26" s="85">
        <v>19.399999999999999</v>
      </c>
      <c r="C26" s="109">
        <v>61</v>
      </c>
      <c r="D26" s="181"/>
      <c r="E26" s="108">
        <v>21</v>
      </c>
      <c r="F26" s="109">
        <v>0.81</v>
      </c>
      <c r="G26" s="190"/>
      <c r="H26" s="84" t="s">
        <v>27</v>
      </c>
      <c r="I26" s="85">
        <v>2.2999999999999998</v>
      </c>
      <c r="J26" s="142">
        <v>0.05</v>
      </c>
      <c r="K26" s="77"/>
      <c r="L26" s="87">
        <f t="shared" si="0"/>
        <v>0</v>
      </c>
      <c r="M26" s="181"/>
    </row>
    <row r="27" spans="1:25" ht="16.899999999999999" customHeight="1" x14ac:dyDescent="0.25">
      <c r="A27" s="108">
        <v>22</v>
      </c>
      <c r="B27" s="85">
        <v>19.7</v>
      </c>
      <c r="C27" s="109">
        <v>62</v>
      </c>
      <c r="D27" s="181"/>
      <c r="E27" s="108">
        <v>22</v>
      </c>
      <c r="F27" s="109">
        <v>0.71</v>
      </c>
      <c r="G27" s="190"/>
      <c r="H27" s="84" t="s">
        <v>28</v>
      </c>
      <c r="I27" s="85">
        <v>2.4</v>
      </c>
      <c r="J27" s="142">
        <v>0.06</v>
      </c>
      <c r="K27" s="77"/>
      <c r="L27" s="87">
        <f t="shared" si="0"/>
        <v>0</v>
      </c>
      <c r="M27" s="181"/>
    </row>
    <row r="28" spans="1:25" ht="16.899999999999999" customHeight="1" x14ac:dyDescent="0.25">
      <c r="A28" s="108">
        <v>23</v>
      </c>
      <c r="B28" s="85">
        <v>20</v>
      </c>
      <c r="C28" s="109">
        <v>63</v>
      </c>
      <c r="D28" s="181"/>
      <c r="E28" s="108">
        <v>23</v>
      </c>
      <c r="F28" s="109">
        <v>0.61</v>
      </c>
      <c r="G28" s="190"/>
      <c r="H28" s="84" t="s">
        <v>29</v>
      </c>
      <c r="I28" s="85">
        <v>2.5</v>
      </c>
      <c r="J28" s="142">
        <v>6.5000000000000002E-2</v>
      </c>
      <c r="K28" s="77"/>
      <c r="L28" s="87">
        <f t="shared" si="0"/>
        <v>0</v>
      </c>
      <c r="M28" s="181"/>
    </row>
    <row r="29" spans="1:25" ht="16.899999999999999" customHeight="1" x14ac:dyDescent="0.25">
      <c r="A29" s="108">
        <v>24</v>
      </c>
      <c r="B29" s="85">
        <v>20.3</v>
      </c>
      <c r="C29" s="109">
        <v>64</v>
      </c>
      <c r="D29" s="181"/>
      <c r="E29" s="108">
        <v>24</v>
      </c>
      <c r="F29" s="109">
        <v>0.56000000000000005</v>
      </c>
      <c r="G29" s="190"/>
      <c r="H29" s="84" t="s">
        <v>30</v>
      </c>
      <c r="I29" s="85">
        <v>2.6</v>
      </c>
      <c r="J29" s="142">
        <v>7.0000000000000007E-2</v>
      </c>
      <c r="K29" s="77"/>
      <c r="L29" s="87">
        <f t="shared" si="0"/>
        <v>0</v>
      </c>
      <c r="M29" s="181"/>
    </row>
    <row r="30" spans="1:25" ht="16.899999999999999" customHeight="1" x14ac:dyDescent="0.25">
      <c r="A30" s="108">
        <v>25</v>
      </c>
      <c r="B30" s="85">
        <v>20.6</v>
      </c>
      <c r="C30" s="109">
        <v>65</v>
      </c>
      <c r="D30" s="181"/>
      <c r="E30" s="108">
        <v>25</v>
      </c>
      <c r="F30" s="109">
        <v>0.51</v>
      </c>
      <c r="G30" s="190"/>
      <c r="H30" s="84" t="s">
        <v>31</v>
      </c>
      <c r="I30" s="85">
        <v>2.7</v>
      </c>
      <c r="J30" s="142">
        <v>0.08</v>
      </c>
      <c r="K30" s="77"/>
      <c r="L30" s="87">
        <f t="shared" si="0"/>
        <v>0</v>
      </c>
      <c r="M30" s="181"/>
    </row>
    <row r="31" spans="1:25" ht="16.899999999999999" customHeight="1" x14ac:dyDescent="0.25">
      <c r="A31" s="108">
        <v>26</v>
      </c>
      <c r="B31" s="85">
        <v>21</v>
      </c>
      <c r="C31" s="109">
        <v>66</v>
      </c>
      <c r="D31" s="181"/>
      <c r="E31" s="108">
        <v>26</v>
      </c>
      <c r="F31" s="109">
        <v>0.46</v>
      </c>
      <c r="G31" s="190"/>
      <c r="H31" s="84" t="s">
        <v>32</v>
      </c>
      <c r="I31" s="85">
        <v>2.8</v>
      </c>
      <c r="J31" s="142">
        <v>0.09</v>
      </c>
      <c r="K31" s="77"/>
      <c r="L31" s="87">
        <f t="shared" si="0"/>
        <v>0</v>
      </c>
      <c r="M31" s="181"/>
    </row>
    <row r="32" spans="1:25" ht="16.899999999999999" customHeight="1" x14ac:dyDescent="0.25">
      <c r="A32" s="108">
        <v>27</v>
      </c>
      <c r="B32" s="85">
        <v>21.3</v>
      </c>
      <c r="C32" s="109">
        <v>67</v>
      </c>
      <c r="D32" s="181"/>
      <c r="E32" s="108">
        <v>27</v>
      </c>
      <c r="F32" s="109">
        <v>0.42</v>
      </c>
      <c r="G32" s="190"/>
      <c r="H32" s="84" t="s">
        <v>33</v>
      </c>
      <c r="I32" s="85">
        <v>2.9</v>
      </c>
      <c r="J32" s="142">
        <v>0.1</v>
      </c>
      <c r="K32" s="77"/>
      <c r="L32" s="87">
        <f t="shared" si="0"/>
        <v>0</v>
      </c>
      <c r="M32" s="181"/>
    </row>
    <row r="33" spans="1:13" ht="16.899999999999999" customHeight="1" x14ac:dyDescent="0.25">
      <c r="A33" s="108">
        <v>28</v>
      </c>
      <c r="B33" s="85">
        <v>21.5</v>
      </c>
      <c r="C33" s="109">
        <v>68</v>
      </c>
      <c r="D33" s="181"/>
      <c r="E33" s="108">
        <v>28</v>
      </c>
      <c r="F33" s="109">
        <v>0.38</v>
      </c>
      <c r="G33" s="190"/>
      <c r="H33" s="84" t="s">
        <v>34</v>
      </c>
      <c r="I33" s="85">
        <v>3</v>
      </c>
      <c r="J33" s="142">
        <v>0.11</v>
      </c>
      <c r="K33" s="77"/>
      <c r="L33" s="87">
        <f t="shared" si="0"/>
        <v>0</v>
      </c>
      <c r="M33" s="181"/>
    </row>
    <row r="34" spans="1:13" ht="16.899999999999999" customHeight="1" x14ac:dyDescent="0.25">
      <c r="A34" s="108">
        <v>29</v>
      </c>
      <c r="B34" s="85">
        <v>22</v>
      </c>
      <c r="C34" s="109">
        <v>69</v>
      </c>
      <c r="D34" s="181"/>
      <c r="E34" s="108">
        <v>29</v>
      </c>
      <c r="F34" s="109">
        <v>0.35</v>
      </c>
      <c r="G34" s="190"/>
      <c r="H34" s="84" t="s">
        <v>35</v>
      </c>
      <c r="I34" s="85">
        <v>3.1</v>
      </c>
      <c r="J34" s="142">
        <v>0.12</v>
      </c>
      <c r="K34" s="77"/>
      <c r="L34" s="87">
        <f t="shared" si="0"/>
        <v>0</v>
      </c>
      <c r="M34" s="181"/>
    </row>
    <row r="35" spans="1:13" ht="16.899999999999999" customHeight="1" x14ac:dyDescent="0.25">
      <c r="A35" s="108">
        <v>30</v>
      </c>
      <c r="B35" s="85">
        <v>22.3</v>
      </c>
      <c r="C35" s="109">
        <v>70</v>
      </c>
      <c r="D35" s="181"/>
      <c r="E35" s="108">
        <v>30</v>
      </c>
      <c r="F35" s="109">
        <v>0.32</v>
      </c>
      <c r="G35" s="190"/>
      <c r="H35" s="84" t="s">
        <v>36</v>
      </c>
      <c r="I35" s="85">
        <v>3.2</v>
      </c>
      <c r="J35" s="142">
        <v>0.13</v>
      </c>
      <c r="K35" s="77"/>
      <c r="L35" s="87">
        <f t="shared" si="0"/>
        <v>0</v>
      </c>
      <c r="M35" s="181"/>
    </row>
    <row r="36" spans="1:13" ht="16.899999999999999" customHeight="1" x14ac:dyDescent="0.25">
      <c r="A36" s="108">
        <v>31</v>
      </c>
      <c r="B36" s="85">
        <v>22.6</v>
      </c>
      <c r="C36" s="109">
        <v>71</v>
      </c>
      <c r="D36" s="181"/>
      <c r="E36" s="108">
        <v>31</v>
      </c>
      <c r="F36" s="110">
        <v>0.3</v>
      </c>
      <c r="G36" s="190"/>
      <c r="H36" s="84" t="s">
        <v>37</v>
      </c>
      <c r="I36" s="85">
        <v>3.3</v>
      </c>
      <c r="J36" s="143">
        <v>0.14599999999999999</v>
      </c>
      <c r="K36" s="77"/>
      <c r="L36" s="87">
        <f t="shared" si="0"/>
        <v>0</v>
      </c>
      <c r="M36" s="181"/>
    </row>
    <row r="37" spans="1:13" ht="16.899999999999999" customHeight="1" x14ac:dyDescent="0.25">
      <c r="A37" s="108">
        <v>32</v>
      </c>
      <c r="B37" s="85">
        <v>22.9</v>
      </c>
      <c r="C37" s="109">
        <v>72</v>
      </c>
      <c r="D37" s="181"/>
      <c r="E37" s="108">
        <v>32</v>
      </c>
      <c r="F37" s="109">
        <v>0.27</v>
      </c>
      <c r="G37" s="190"/>
      <c r="H37" s="84" t="s">
        <v>38</v>
      </c>
      <c r="I37" s="85">
        <v>3.4</v>
      </c>
      <c r="J37" s="142">
        <v>0.153</v>
      </c>
      <c r="K37" s="77"/>
      <c r="L37" s="87">
        <f t="shared" si="0"/>
        <v>0</v>
      </c>
      <c r="M37" s="181"/>
    </row>
    <row r="38" spans="1:13" ht="16.899999999999999" customHeight="1" x14ac:dyDescent="0.25">
      <c r="A38" s="108">
        <v>33</v>
      </c>
      <c r="B38" s="85">
        <v>23.2</v>
      </c>
      <c r="C38" s="109">
        <v>73</v>
      </c>
      <c r="D38" s="181"/>
      <c r="E38" s="108">
        <v>33</v>
      </c>
      <c r="F38" s="109">
        <v>0.25</v>
      </c>
      <c r="G38" s="190"/>
      <c r="H38" s="84" t="s">
        <v>39</v>
      </c>
      <c r="I38" s="85">
        <v>3.5</v>
      </c>
      <c r="J38" s="142">
        <v>0.16500000000000001</v>
      </c>
      <c r="K38" s="77"/>
      <c r="L38" s="87">
        <f t="shared" si="0"/>
        <v>0</v>
      </c>
      <c r="M38" s="181"/>
    </row>
    <row r="39" spans="1:13" ht="16.899999999999999" customHeight="1" x14ac:dyDescent="0.25">
      <c r="A39" s="108">
        <v>34</v>
      </c>
      <c r="B39" s="85">
        <v>23.5</v>
      </c>
      <c r="C39" s="109">
        <v>74</v>
      </c>
      <c r="D39" s="181"/>
      <c r="E39" s="108">
        <v>34</v>
      </c>
      <c r="F39" s="109">
        <v>0.23</v>
      </c>
      <c r="G39" s="190"/>
      <c r="H39" s="84" t="s">
        <v>40</v>
      </c>
      <c r="I39" s="85">
        <v>3.6</v>
      </c>
      <c r="J39" s="142">
        <v>0.19500000000000001</v>
      </c>
      <c r="K39" s="77"/>
      <c r="L39" s="87">
        <f t="shared" si="0"/>
        <v>0</v>
      </c>
      <c r="M39" s="181"/>
    </row>
    <row r="40" spans="1:13" ht="16.899999999999999" customHeight="1" x14ac:dyDescent="0.25">
      <c r="A40" s="108">
        <v>35</v>
      </c>
      <c r="B40" s="85">
        <v>23.9</v>
      </c>
      <c r="C40" s="109">
        <v>75</v>
      </c>
      <c r="D40" s="181"/>
      <c r="E40" s="108">
        <v>35</v>
      </c>
      <c r="F40" s="109">
        <v>0.21</v>
      </c>
      <c r="G40" s="190"/>
      <c r="H40" s="84" t="s">
        <v>41</v>
      </c>
      <c r="I40" s="85">
        <v>3.7</v>
      </c>
      <c r="J40" s="142">
        <v>0.21</v>
      </c>
      <c r="K40" s="77"/>
      <c r="L40" s="87">
        <f t="shared" si="0"/>
        <v>0</v>
      </c>
      <c r="M40" s="181"/>
    </row>
    <row r="41" spans="1:13" ht="16.899999999999999" customHeight="1" x14ac:dyDescent="0.25">
      <c r="A41" s="108">
        <v>36</v>
      </c>
      <c r="B41" s="85">
        <v>24.2</v>
      </c>
      <c r="C41" s="109">
        <v>76</v>
      </c>
      <c r="D41" s="181"/>
      <c r="E41" s="108">
        <v>36</v>
      </c>
      <c r="F41" s="109">
        <v>0.19</v>
      </c>
      <c r="G41" s="190"/>
      <c r="H41" s="88" t="s">
        <v>42</v>
      </c>
      <c r="I41" s="89">
        <v>3.8</v>
      </c>
      <c r="J41" s="142">
        <v>0.23909090909090908</v>
      </c>
      <c r="K41" s="78"/>
      <c r="L41" s="90">
        <f t="shared" si="0"/>
        <v>0</v>
      </c>
      <c r="M41" s="181"/>
    </row>
    <row r="42" spans="1:13" s="4" customFormat="1" ht="16.899999999999999" customHeight="1" thickBot="1" x14ac:dyDescent="0.3">
      <c r="A42" s="111"/>
      <c r="B42" s="113"/>
      <c r="C42" s="112"/>
      <c r="D42" s="182"/>
      <c r="E42" s="111"/>
      <c r="F42" s="112"/>
      <c r="G42" s="191"/>
      <c r="H42" s="91" t="s">
        <v>90</v>
      </c>
      <c r="I42" s="92">
        <v>3.9</v>
      </c>
      <c r="J42" s="143">
        <v>0.25189189189189187</v>
      </c>
      <c r="K42" s="103"/>
      <c r="L42" s="93">
        <f t="shared" ref="L42:L81" si="1">K42*J42</f>
        <v>0</v>
      </c>
      <c r="M42" s="182"/>
    </row>
    <row r="43" spans="1:13" ht="16.899999999999999" customHeight="1" x14ac:dyDescent="0.2">
      <c r="H43" s="94" t="s">
        <v>91</v>
      </c>
      <c r="I43" s="95">
        <v>4</v>
      </c>
      <c r="J43" s="142">
        <v>0.26421052631578945</v>
      </c>
      <c r="K43" s="103"/>
      <c r="L43" s="93">
        <f t="shared" si="1"/>
        <v>0</v>
      </c>
    </row>
    <row r="44" spans="1:13" ht="16.899999999999999" customHeight="1" x14ac:dyDescent="0.2">
      <c r="H44" s="94" t="s">
        <v>92</v>
      </c>
      <c r="I44" s="95">
        <v>4.0999999999999996</v>
      </c>
      <c r="J44" s="142">
        <v>0.3</v>
      </c>
      <c r="K44" s="103"/>
      <c r="L44" s="93">
        <f t="shared" si="1"/>
        <v>0</v>
      </c>
    </row>
    <row r="45" spans="1:13" ht="16.899999999999999" customHeight="1" x14ac:dyDescent="0.2">
      <c r="H45" s="94" t="s">
        <v>93</v>
      </c>
      <c r="I45" s="92">
        <v>4.2</v>
      </c>
      <c r="J45" s="142">
        <v>0.31</v>
      </c>
      <c r="K45" s="103"/>
      <c r="L45" s="93">
        <f t="shared" si="1"/>
        <v>0</v>
      </c>
    </row>
    <row r="46" spans="1:13" ht="16.899999999999999" customHeight="1" x14ac:dyDescent="0.2">
      <c r="H46" s="94" t="s">
        <v>97</v>
      </c>
      <c r="I46" s="92">
        <v>4.3</v>
      </c>
      <c r="J46" s="144">
        <v>0.33</v>
      </c>
      <c r="K46" s="103"/>
      <c r="L46" s="93">
        <f t="shared" si="1"/>
        <v>0</v>
      </c>
    </row>
    <row r="47" spans="1:13" ht="16.899999999999999" customHeight="1" x14ac:dyDescent="0.2">
      <c r="H47" s="94" t="s">
        <v>94</v>
      </c>
      <c r="I47" s="95">
        <v>4.4000000000000004</v>
      </c>
      <c r="J47" s="144">
        <v>0.38</v>
      </c>
      <c r="K47" s="103"/>
      <c r="L47" s="93">
        <f t="shared" si="1"/>
        <v>0</v>
      </c>
    </row>
    <row r="48" spans="1:13" ht="16.899999999999999" customHeight="1" x14ac:dyDescent="0.2">
      <c r="H48" s="94" t="s">
        <v>95</v>
      </c>
      <c r="I48" s="92">
        <v>4.5</v>
      </c>
      <c r="J48" s="144">
        <v>0.39</v>
      </c>
      <c r="K48" s="103"/>
      <c r="L48" s="93">
        <f t="shared" si="1"/>
        <v>0</v>
      </c>
    </row>
    <row r="49" spans="8:12" ht="16.899999999999999" customHeight="1" x14ac:dyDescent="0.2">
      <c r="H49" s="94" t="s">
        <v>96</v>
      </c>
      <c r="I49" s="95">
        <v>4.5999999999999996</v>
      </c>
      <c r="J49" s="144">
        <v>0.4</v>
      </c>
      <c r="K49" s="103"/>
      <c r="L49" s="93">
        <f t="shared" si="1"/>
        <v>0</v>
      </c>
    </row>
    <row r="50" spans="8:12" ht="16.899999999999999" customHeight="1" x14ac:dyDescent="0.2">
      <c r="H50" s="96" t="s">
        <v>89</v>
      </c>
      <c r="I50" s="95">
        <v>4.7</v>
      </c>
      <c r="J50" s="144">
        <v>0.46</v>
      </c>
      <c r="K50" s="103"/>
      <c r="L50" s="93">
        <f t="shared" si="1"/>
        <v>0</v>
      </c>
    </row>
    <row r="51" spans="8:12" ht="16.899999999999999" customHeight="1" x14ac:dyDescent="0.2">
      <c r="H51" s="96" t="s">
        <v>89</v>
      </c>
      <c r="I51" s="92">
        <v>4.8</v>
      </c>
      <c r="J51" s="145">
        <v>0.49</v>
      </c>
      <c r="K51" s="103"/>
      <c r="L51" s="93">
        <f t="shared" si="1"/>
        <v>0</v>
      </c>
    </row>
    <row r="52" spans="8:12" ht="16.899999999999999" customHeight="1" x14ac:dyDescent="0.2">
      <c r="H52" s="96" t="s">
        <v>89</v>
      </c>
      <c r="I52" s="95">
        <v>4.9000000000000004</v>
      </c>
      <c r="J52" s="144">
        <v>0.5</v>
      </c>
      <c r="K52" s="103"/>
      <c r="L52" s="93">
        <f t="shared" si="1"/>
        <v>0</v>
      </c>
    </row>
    <row r="53" spans="8:12" ht="16.899999999999999" customHeight="1" x14ac:dyDescent="0.2">
      <c r="H53" s="96" t="s">
        <v>89</v>
      </c>
      <c r="I53" s="92">
        <v>5</v>
      </c>
      <c r="J53" s="145">
        <v>0.52</v>
      </c>
      <c r="K53" s="103"/>
      <c r="L53" s="93">
        <f t="shared" si="1"/>
        <v>0</v>
      </c>
    </row>
    <row r="54" spans="8:12" ht="16.899999999999999" customHeight="1" x14ac:dyDescent="0.2">
      <c r="H54" s="96" t="s">
        <v>89</v>
      </c>
      <c r="I54" s="92">
        <v>5.0999999999999996</v>
      </c>
      <c r="J54" s="144">
        <v>0.56000000000000005</v>
      </c>
      <c r="K54" s="103"/>
      <c r="L54" s="93">
        <f t="shared" si="1"/>
        <v>0</v>
      </c>
    </row>
    <row r="55" spans="8:12" ht="16.899999999999999" customHeight="1" x14ac:dyDescent="0.2">
      <c r="H55" s="96" t="s">
        <v>89</v>
      </c>
      <c r="I55" s="92">
        <v>5.2</v>
      </c>
      <c r="J55" s="144">
        <v>0.61</v>
      </c>
      <c r="K55" s="103"/>
      <c r="L55" s="93">
        <f t="shared" si="1"/>
        <v>0</v>
      </c>
    </row>
    <row r="56" spans="8:12" ht="16.899999999999999" customHeight="1" x14ac:dyDescent="0.2">
      <c r="H56" s="96" t="s">
        <v>89</v>
      </c>
      <c r="I56" s="92">
        <v>5.3</v>
      </c>
      <c r="J56" s="144">
        <v>0.63</v>
      </c>
      <c r="K56" s="103"/>
      <c r="L56" s="93">
        <f t="shared" si="1"/>
        <v>0</v>
      </c>
    </row>
    <row r="57" spans="8:12" ht="16.899999999999999" customHeight="1" x14ac:dyDescent="0.2">
      <c r="H57" s="96" t="s">
        <v>89</v>
      </c>
      <c r="I57" s="95">
        <v>5.4</v>
      </c>
      <c r="J57" s="144">
        <v>0.65</v>
      </c>
      <c r="K57" s="103"/>
      <c r="L57" s="93">
        <f t="shared" si="1"/>
        <v>0</v>
      </c>
    </row>
    <row r="58" spans="8:12" ht="16.899999999999999" customHeight="1" x14ac:dyDescent="0.2">
      <c r="H58" s="96" t="s">
        <v>89</v>
      </c>
      <c r="I58" s="95">
        <v>5.5</v>
      </c>
      <c r="J58" s="144">
        <v>0.67</v>
      </c>
      <c r="K58" s="103"/>
      <c r="L58" s="93">
        <f t="shared" si="1"/>
        <v>0</v>
      </c>
    </row>
    <row r="59" spans="8:12" ht="16.899999999999999" customHeight="1" x14ac:dyDescent="0.2">
      <c r="H59" s="96" t="s">
        <v>89</v>
      </c>
      <c r="I59" s="95">
        <v>5.6</v>
      </c>
      <c r="J59" s="144">
        <v>0.7</v>
      </c>
      <c r="K59" s="103"/>
      <c r="L59" s="93">
        <f t="shared" si="1"/>
        <v>0</v>
      </c>
    </row>
    <row r="60" spans="8:12" ht="16.899999999999999" customHeight="1" x14ac:dyDescent="0.2">
      <c r="H60" s="96" t="s">
        <v>89</v>
      </c>
      <c r="I60" s="95">
        <v>5.8</v>
      </c>
      <c r="J60" s="144">
        <v>0.8</v>
      </c>
      <c r="K60" s="103"/>
      <c r="L60" s="93">
        <f t="shared" si="1"/>
        <v>0</v>
      </c>
    </row>
    <row r="61" spans="8:12" ht="16.899999999999999" customHeight="1" x14ac:dyDescent="0.2">
      <c r="H61" s="96" t="s">
        <v>89</v>
      </c>
      <c r="I61" s="95">
        <v>6</v>
      </c>
      <c r="J61" s="144">
        <v>0.9</v>
      </c>
      <c r="K61" s="103"/>
      <c r="L61" s="93">
        <f t="shared" si="1"/>
        <v>0</v>
      </c>
    </row>
    <row r="62" spans="8:12" ht="16.899999999999999" customHeight="1" x14ac:dyDescent="0.2">
      <c r="H62" s="96" t="s">
        <v>89</v>
      </c>
      <c r="I62" s="95">
        <v>6.2</v>
      </c>
      <c r="J62" s="144">
        <v>1</v>
      </c>
      <c r="K62" s="103"/>
      <c r="L62" s="93">
        <f t="shared" si="1"/>
        <v>0</v>
      </c>
    </row>
    <row r="63" spans="8:12" ht="16.899999999999999" customHeight="1" x14ac:dyDescent="0.2">
      <c r="H63" s="96" t="s">
        <v>89</v>
      </c>
      <c r="I63" s="95">
        <v>6.4</v>
      </c>
      <c r="J63" s="144">
        <v>1.05</v>
      </c>
      <c r="K63" s="103"/>
      <c r="L63" s="93">
        <f t="shared" si="1"/>
        <v>0</v>
      </c>
    </row>
    <row r="64" spans="8:12" ht="16.899999999999999" customHeight="1" x14ac:dyDescent="0.2">
      <c r="H64" s="96" t="s">
        <v>89</v>
      </c>
      <c r="I64" s="95">
        <v>6.5</v>
      </c>
      <c r="J64" s="144">
        <v>1.1000000000000001</v>
      </c>
      <c r="K64" s="103"/>
      <c r="L64" s="93">
        <f t="shared" si="1"/>
        <v>0</v>
      </c>
    </row>
    <row r="65" spans="8:18" ht="16.899999999999999" customHeight="1" x14ac:dyDescent="0.2">
      <c r="H65" s="96" t="s">
        <v>89</v>
      </c>
      <c r="I65" s="95">
        <v>6.6</v>
      </c>
      <c r="J65" s="144">
        <v>1.1299999999999999</v>
      </c>
      <c r="K65" s="103"/>
      <c r="L65" s="93">
        <f t="shared" si="1"/>
        <v>0</v>
      </c>
    </row>
    <row r="66" spans="8:18" ht="16.899999999999999" customHeight="1" x14ac:dyDescent="0.2">
      <c r="H66" s="96" t="s">
        <v>89</v>
      </c>
      <c r="I66" s="95">
        <v>6.8</v>
      </c>
      <c r="J66" s="144">
        <v>1.17</v>
      </c>
      <c r="K66" s="103"/>
      <c r="L66" s="93">
        <f t="shared" si="1"/>
        <v>0</v>
      </c>
    </row>
    <row r="67" spans="8:18" ht="16.899999999999999" customHeight="1" x14ac:dyDescent="0.2">
      <c r="H67" s="96" t="s">
        <v>89</v>
      </c>
      <c r="I67" s="95">
        <v>7</v>
      </c>
      <c r="J67" s="144">
        <v>1.25</v>
      </c>
      <c r="K67" s="103"/>
      <c r="L67" s="93">
        <f t="shared" si="1"/>
        <v>0</v>
      </c>
    </row>
    <row r="68" spans="8:18" ht="16.899999999999999" customHeight="1" x14ac:dyDescent="0.2">
      <c r="H68" s="96" t="s">
        <v>89</v>
      </c>
      <c r="I68" s="95">
        <v>7.2</v>
      </c>
      <c r="J68" s="144">
        <v>1.33</v>
      </c>
      <c r="K68" s="103"/>
      <c r="L68" s="93">
        <f t="shared" si="1"/>
        <v>0</v>
      </c>
    </row>
    <row r="69" spans="8:18" ht="16.899999999999999" customHeight="1" x14ac:dyDescent="0.2">
      <c r="H69" s="96" t="s">
        <v>89</v>
      </c>
      <c r="I69" s="95">
        <v>7.4</v>
      </c>
      <c r="J69" s="144">
        <v>1.5</v>
      </c>
      <c r="K69" s="103"/>
      <c r="L69" s="93">
        <f t="shared" si="1"/>
        <v>0</v>
      </c>
    </row>
    <row r="70" spans="8:18" ht="16.899999999999999" customHeight="1" x14ac:dyDescent="0.2">
      <c r="H70" s="96" t="s">
        <v>89</v>
      </c>
      <c r="I70" s="95">
        <v>7.6</v>
      </c>
      <c r="J70" s="144">
        <v>1.6</v>
      </c>
      <c r="K70" s="104"/>
      <c r="L70" s="97">
        <f t="shared" si="1"/>
        <v>0</v>
      </c>
    </row>
    <row r="71" spans="8:18" ht="16.899999999999999" customHeight="1" x14ac:dyDescent="0.2">
      <c r="H71" s="96" t="s">
        <v>89</v>
      </c>
      <c r="I71" s="95">
        <v>7.8</v>
      </c>
      <c r="J71" s="144">
        <v>1.75</v>
      </c>
      <c r="K71" s="104"/>
      <c r="L71" s="97">
        <f t="shared" si="1"/>
        <v>0</v>
      </c>
    </row>
    <row r="72" spans="8:18" ht="16.899999999999999" customHeight="1" x14ac:dyDescent="0.2">
      <c r="H72" s="96" t="s">
        <v>89</v>
      </c>
      <c r="I72" s="95">
        <v>8</v>
      </c>
      <c r="J72" s="144">
        <v>1.9</v>
      </c>
      <c r="K72" s="104"/>
      <c r="L72" s="97">
        <f t="shared" si="1"/>
        <v>0</v>
      </c>
    </row>
    <row r="73" spans="8:18" ht="16.899999999999999" customHeight="1" x14ac:dyDescent="0.2">
      <c r="H73" s="96" t="s">
        <v>89</v>
      </c>
      <c r="I73" s="95">
        <v>8.1999999999999993</v>
      </c>
      <c r="J73" s="144">
        <v>2</v>
      </c>
      <c r="K73" s="104"/>
      <c r="L73" s="97">
        <f t="shared" si="1"/>
        <v>0</v>
      </c>
    </row>
    <row r="74" spans="8:18" ht="16.899999999999999" customHeight="1" x14ac:dyDescent="0.2">
      <c r="H74" s="96" t="s">
        <v>89</v>
      </c>
      <c r="I74" s="95">
        <v>8.4</v>
      </c>
      <c r="J74" s="144">
        <v>2.15</v>
      </c>
      <c r="K74" s="104"/>
      <c r="L74" s="97">
        <f t="shared" si="1"/>
        <v>0</v>
      </c>
    </row>
    <row r="75" spans="8:18" ht="16.899999999999999" customHeight="1" x14ac:dyDescent="0.2">
      <c r="H75" s="96" t="s">
        <v>89</v>
      </c>
      <c r="I75" s="95">
        <v>8.6</v>
      </c>
      <c r="J75" s="144">
        <v>2.25</v>
      </c>
      <c r="K75" s="104"/>
      <c r="L75" s="97">
        <f t="shared" si="1"/>
        <v>0</v>
      </c>
    </row>
    <row r="76" spans="8:18" ht="16.899999999999999" customHeight="1" x14ac:dyDescent="0.2">
      <c r="H76" s="96" t="s">
        <v>89</v>
      </c>
      <c r="I76" s="95">
        <v>8.8000000000000007</v>
      </c>
      <c r="J76" s="144">
        <v>2.5</v>
      </c>
      <c r="K76" s="104"/>
      <c r="L76" s="97">
        <f t="shared" si="1"/>
        <v>0</v>
      </c>
      <c r="Q76" s="102"/>
      <c r="R76" s="102"/>
    </row>
    <row r="77" spans="8:18" ht="16.899999999999999" customHeight="1" x14ac:dyDescent="0.2">
      <c r="H77" s="96" t="s">
        <v>89</v>
      </c>
      <c r="I77" s="95">
        <v>9.1999999999999993</v>
      </c>
      <c r="J77" s="144">
        <v>2.85</v>
      </c>
      <c r="K77" s="104"/>
      <c r="L77" s="97">
        <f t="shared" si="1"/>
        <v>0</v>
      </c>
    </row>
    <row r="78" spans="8:18" ht="16.899999999999999" customHeight="1" x14ac:dyDescent="0.2">
      <c r="H78" s="96" t="s">
        <v>89</v>
      </c>
      <c r="I78" s="95">
        <v>9.4</v>
      </c>
      <c r="J78" s="144">
        <v>3</v>
      </c>
      <c r="K78" s="104"/>
      <c r="L78" s="97">
        <f t="shared" si="1"/>
        <v>0</v>
      </c>
    </row>
    <row r="79" spans="8:18" ht="16.899999999999999" customHeight="1" x14ac:dyDescent="0.2">
      <c r="H79" s="96" t="s">
        <v>89</v>
      </c>
      <c r="I79" s="95">
        <v>9.6</v>
      </c>
      <c r="J79" s="144">
        <v>3.15</v>
      </c>
      <c r="K79" s="104"/>
      <c r="L79" s="97">
        <f t="shared" si="1"/>
        <v>0</v>
      </c>
    </row>
    <row r="80" spans="8:18" ht="16.899999999999999" customHeight="1" x14ac:dyDescent="0.2">
      <c r="H80" s="96" t="s">
        <v>89</v>
      </c>
      <c r="I80" s="95">
        <v>9.8000000000000007</v>
      </c>
      <c r="J80" s="144">
        <v>3.35</v>
      </c>
      <c r="K80" s="104"/>
      <c r="L80" s="97">
        <f t="shared" si="1"/>
        <v>0</v>
      </c>
    </row>
    <row r="81" spans="8:12" ht="16.899999999999999" customHeight="1" thickBot="1" x14ac:dyDescent="0.25">
      <c r="H81" s="96" t="s">
        <v>89</v>
      </c>
      <c r="I81" s="98">
        <v>10</v>
      </c>
      <c r="J81" s="146">
        <v>3.5</v>
      </c>
      <c r="K81" s="105"/>
      <c r="L81" s="99">
        <f t="shared" si="1"/>
        <v>0</v>
      </c>
    </row>
    <row r="82" spans="8:12" ht="19.5" thickBot="1" x14ac:dyDescent="0.25">
      <c r="H82" s="195" t="s">
        <v>75</v>
      </c>
      <c r="I82" s="195"/>
      <c r="J82" s="195"/>
      <c r="K82" s="101">
        <f>SUM(K6:K41)</f>
        <v>0</v>
      </c>
      <c r="L82" s="100">
        <f>SUM(L6:L41)</f>
        <v>0</v>
      </c>
    </row>
    <row r="83" spans="8:12" x14ac:dyDescent="0.2">
      <c r="H83" s="80"/>
      <c r="I83" s="80"/>
      <c r="J83" s="80"/>
      <c r="K83" s="80"/>
      <c r="L83" s="80"/>
    </row>
    <row r="84" spans="8:12" x14ac:dyDescent="0.2">
      <c r="H84" s="80"/>
      <c r="I84" s="80"/>
      <c r="J84" s="80"/>
      <c r="K84" s="80"/>
      <c r="L84" s="80"/>
    </row>
    <row r="85" spans="8:12" x14ac:dyDescent="0.2">
      <c r="H85" s="80"/>
      <c r="I85" s="80"/>
      <c r="J85" s="80"/>
      <c r="K85" s="80"/>
      <c r="L85" s="80"/>
    </row>
    <row r="86" spans="8:12" x14ac:dyDescent="0.2">
      <c r="H86" s="80"/>
      <c r="I86" s="80"/>
      <c r="J86" s="80"/>
      <c r="K86" s="80"/>
      <c r="L86" s="80"/>
    </row>
    <row r="87" spans="8:12" x14ac:dyDescent="0.2">
      <c r="H87" s="80"/>
      <c r="I87" s="80"/>
      <c r="J87" s="80"/>
      <c r="K87" s="80"/>
      <c r="L87" s="80"/>
    </row>
    <row r="88" spans="8:12" x14ac:dyDescent="0.2">
      <c r="H88" s="80"/>
      <c r="I88" s="80"/>
      <c r="J88" s="80"/>
      <c r="K88" s="80"/>
      <c r="L88" s="80"/>
    </row>
    <row r="89" spans="8:12" x14ac:dyDescent="0.2">
      <c r="H89" s="80"/>
      <c r="I89" s="80"/>
      <c r="J89" s="80"/>
      <c r="K89" s="80"/>
      <c r="L89" s="80"/>
    </row>
    <row r="90" spans="8:12" x14ac:dyDescent="0.2">
      <c r="H90" s="80"/>
      <c r="I90" s="80"/>
      <c r="J90" s="80"/>
      <c r="K90" s="80"/>
      <c r="L90" s="80"/>
    </row>
    <row r="91" spans="8:12" x14ac:dyDescent="0.2">
      <c r="H91" s="80"/>
      <c r="I91" s="80"/>
      <c r="J91" s="80"/>
      <c r="K91" s="80"/>
      <c r="L91" s="80"/>
    </row>
    <row r="92" spans="8:12" x14ac:dyDescent="0.2">
      <c r="H92" s="80"/>
      <c r="I92" s="80"/>
      <c r="J92" s="80"/>
      <c r="K92" s="80"/>
      <c r="L92" s="80"/>
    </row>
    <row r="93" spans="8:12" x14ac:dyDescent="0.2">
      <c r="H93" s="80"/>
      <c r="I93" s="80"/>
      <c r="J93" s="80"/>
      <c r="K93" s="80"/>
      <c r="L93" s="80"/>
    </row>
    <row r="94" spans="8:12" x14ac:dyDescent="0.2">
      <c r="H94" s="80"/>
      <c r="I94" s="80"/>
      <c r="J94" s="80"/>
      <c r="K94" s="80"/>
      <c r="L94" s="80"/>
    </row>
    <row r="95" spans="8:12" x14ac:dyDescent="0.2">
      <c r="H95" s="80"/>
      <c r="I95" s="80"/>
      <c r="J95" s="80"/>
      <c r="K95" s="80"/>
      <c r="L95" s="80"/>
    </row>
    <row r="96" spans="8:12" x14ac:dyDescent="0.2">
      <c r="H96" s="80"/>
      <c r="I96" s="80"/>
      <c r="J96" s="80"/>
      <c r="K96" s="80"/>
      <c r="L96" s="80"/>
    </row>
    <row r="97" spans="8:12" x14ac:dyDescent="0.2">
      <c r="H97" s="80"/>
      <c r="I97" s="80"/>
      <c r="J97" s="80"/>
      <c r="K97" s="80"/>
      <c r="L97" s="80"/>
    </row>
    <row r="98" spans="8:12" x14ac:dyDescent="0.2">
      <c r="H98" s="80"/>
      <c r="I98" s="80"/>
      <c r="J98" s="80"/>
      <c r="K98" s="80"/>
      <c r="L98" s="80"/>
    </row>
    <row r="99" spans="8:12" x14ac:dyDescent="0.2">
      <c r="H99" s="80"/>
      <c r="I99" s="80"/>
      <c r="J99" s="80"/>
      <c r="K99" s="80"/>
      <c r="L99" s="80"/>
    </row>
    <row r="100" spans="8:12" x14ac:dyDescent="0.2">
      <c r="H100" s="80"/>
      <c r="I100" s="80"/>
      <c r="J100" s="80"/>
      <c r="K100" s="80"/>
      <c r="L100" s="80"/>
    </row>
    <row r="101" spans="8:12" x14ac:dyDescent="0.2">
      <c r="H101" s="80"/>
      <c r="I101" s="80"/>
      <c r="J101" s="80"/>
      <c r="K101" s="80"/>
      <c r="L101" s="80"/>
    </row>
    <row r="102" spans="8:12" x14ac:dyDescent="0.2">
      <c r="H102" s="80"/>
      <c r="I102" s="80"/>
      <c r="J102" s="80"/>
      <c r="K102" s="80"/>
      <c r="L102" s="80"/>
    </row>
    <row r="103" spans="8:12" x14ac:dyDescent="0.2">
      <c r="H103" s="80"/>
      <c r="I103" s="80"/>
      <c r="J103" s="80"/>
      <c r="K103" s="80"/>
      <c r="L103" s="80"/>
    </row>
    <row r="104" spans="8:12" x14ac:dyDescent="0.2">
      <c r="H104" s="80"/>
      <c r="I104" s="80"/>
      <c r="J104" s="80"/>
      <c r="K104" s="80"/>
      <c r="L104" s="80"/>
    </row>
    <row r="105" spans="8:12" x14ac:dyDescent="0.2">
      <c r="H105" s="80"/>
      <c r="I105" s="80"/>
      <c r="J105" s="80"/>
      <c r="K105" s="80"/>
      <c r="L105" s="80"/>
    </row>
    <row r="106" spans="8:12" x14ac:dyDescent="0.2">
      <c r="H106" s="80"/>
      <c r="I106" s="80"/>
      <c r="J106" s="80"/>
      <c r="K106" s="80"/>
      <c r="L106" s="80"/>
    </row>
    <row r="107" spans="8:12" x14ac:dyDescent="0.2">
      <c r="H107" s="80"/>
      <c r="I107" s="80"/>
      <c r="J107" s="80"/>
      <c r="K107" s="80"/>
      <c r="L107" s="80"/>
    </row>
    <row r="108" spans="8:12" x14ac:dyDescent="0.2">
      <c r="H108" s="80"/>
      <c r="I108" s="80"/>
      <c r="J108" s="80"/>
      <c r="K108" s="80"/>
      <c r="L108" s="80"/>
    </row>
    <row r="109" spans="8:12" x14ac:dyDescent="0.2">
      <c r="H109" s="80"/>
      <c r="I109" s="80"/>
      <c r="J109" s="80"/>
      <c r="K109" s="80"/>
      <c r="L109" s="80"/>
    </row>
    <row r="110" spans="8:12" x14ac:dyDescent="0.2">
      <c r="H110" s="80"/>
      <c r="I110" s="80"/>
      <c r="J110" s="80"/>
      <c r="K110" s="80"/>
      <c r="L110" s="80"/>
    </row>
    <row r="111" spans="8:12" x14ac:dyDescent="0.2">
      <c r="H111" s="80"/>
      <c r="I111" s="80"/>
      <c r="J111" s="80"/>
      <c r="K111" s="80"/>
      <c r="L111" s="80"/>
    </row>
    <row r="112" spans="8:12" x14ac:dyDescent="0.2">
      <c r="H112" s="80"/>
      <c r="I112" s="80"/>
      <c r="J112" s="80"/>
      <c r="K112" s="80"/>
      <c r="L112" s="80"/>
    </row>
    <row r="113" spans="8:12" x14ac:dyDescent="0.2">
      <c r="H113" s="80"/>
      <c r="I113" s="80"/>
      <c r="J113" s="80"/>
      <c r="K113" s="80"/>
      <c r="L113" s="80"/>
    </row>
    <row r="114" spans="8:12" x14ac:dyDescent="0.2">
      <c r="H114" s="80"/>
      <c r="I114" s="80"/>
      <c r="J114" s="80"/>
      <c r="K114" s="80"/>
      <c r="L114" s="80"/>
    </row>
  </sheetData>
  <sheetProtection selectLockedCells="1"/>
  <mergeCells count="21">
    <mergeCell ref="N14:O14"/>
    <mergeCell ref="N13:P13"/>
    <mergeCell ref="H82:J82"/>
    <mergeCell ref="N8:O8"/>
    <mergeCell ref="N4:Q4"/>
    <mergeCell ref="A1:Q3"/>
    <mergeCell ref="H4:L4"/>
    <mergeCell ref="E4:F4"/>
    <mergeCell ref="N18:P18"/>
    <mergeCell ref="D4:D42"/>
    <mergeCell ref="A4:C4"/>
    <mergeCell ref="N19:O19"/>
    <mergeCell ref="N20:O20"/>
    <mergeCell ref="N9:O9"/>
    <mergeCell ref="M4:M42"/>
    <mergeCell ref="G4:G42"/>
    <mergeCell ref="N7:P7"/>
    <mergeCell ref="N10:P10"/>
    <mergeCell ref="N15:O15"/>
    <mergeCell ref="N16:O16"/>
    <mergeCell ref="N17:O17"/>
  </mergeCells>
  <pageMargins left="0.7" right="0.7" top="0.75" bottom="0.75" header="0.3" footer="0.3"/>
  <pageSetup orientation="portrait" r:id="rId1"/>
  <ignoredErrors>
    <ignoredError sqref="P20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D4:R47"/>
  <sheetViews>
    <sheetView showGridLines="0" showRuler="0" view="pageLayout" topLeftCell="A7" zoomScaleNormal="100" workbookViewId="0">
      <selection activeCell="G52" sqref="G52"/>
    </sheetView>
  </sheetViews>
  <sheetFormatPr defaultColWidth="8.28515625" defaultRowHeight="15" customHeight="1" x14ac:dyDescent="0.25"/>
  <cols>
    <col min="4" max="4" width="11.5703125" customWidth="1"/>
    <col min="5" max="6" width="10.7109375" customWidth="1"/>
    <col min="7" max="7" width="10.7109375" style="5" customWidth="1"/>
    <col min="8" max="8" width="10.7109375" customWidth="1"/>
    <col min="9" max="9" width="13.28515625" hidden="1" customWidth="1"/>
    <col min="10" max="10" width="15" customWidth="1"/>
    <col min="11" max="11" width="10" customWidth="1"/>
    <col min="14" max="14" width="15" customWidth="1"/>
    <col min="15" max="15" width="10" customWidth="1"/>
  </cols>
  <sheetData>
    <row r="4" spans="4:18" ht="15" customHeight="1" thickBot="1" x14ac:dyDescent="0.3">
      <c r="E4" s="6"/>
      <c r="F4" s="6"/>
      <c r="G4" s="6"/>
      <c r="N4" s="7"/>
      <c r="O4" s="7"/>
      <c r="P4" s="7"/>
      <c r="Q4" s="7"/>
      <c r="R4" s="7"/>
    </row>
    <row r="5" spans="4:18" ht="24.6" customHeight="1" x14ac:dyDescent="0.25">
      <c r="D5" s="200" t="s">
        <v>51</v>
      </c>
      <c r="E5" s="201"/>
      <c r="F5" s="129" t="s">
        <v>84</v>
      </c>
      <c r="G5" s="130"/>
      <c r="H5" s="131"/>
      <c r="N5" s="8"/>
      <c r="O5" s="8"/>
      <c r="P5" s="8"/>
      <c r="Q5" s="8"/>
      <c r="R5" s="8"/>
    </row>
    <row r="6" spans="4:18" ht="25.15" customHeight="1" thickBot="1" x14ac:dyDescent="0.3">
      <c r="D6" s="203"/>
      <c r="E6" s="204"/>
      <c r="F6" s="132" t="s">
        <v>85</v>
      </c>
      <c r="G6" s="133"/>
      <c r="H6" s="134"/>
      <c r="I6" s="61"/>
      <c r="N6" s="9"/>
      <c r="O6" s="10"/>
      <c r="P6" s="5"/>
      <c r="R6" s="11"/>
    </row>
    <row r="7" spans="4:18" ht="19.899999999999999" customHeight="1" thickBot="1" x14ac:dyDescent="0.35">
      <c r="D7" s="206" t="s">
        <v>74</v>
      </c>
      <c r="E7" s="207"/>
      <c r="F7" s="207"/>
      <c r="G7" s="207"/>
      <c r="H7" s="208"/>
      <c r="I7" s="15"/>
      <c r="J7" s="209" t="s">
        <v>77</v>
      </c>
      <c r="K7" s="209"/>
      <c r="L7" s="79"/>
      <c r="M7" s="138"/>
      <c r="N7" s="210" t="s">
        <v>76</v>
      </c>
      <c r="O7" s="210"/>
      <c r="P7" s="5"/>
      <c r="R7" s="11"/>
    </row>
    <row r="8" spans="4:18" s="127" customFormat="1" ht="16.899999999999999" customHeight="1" thickBot="1" x14ac:dyDescent="0.3">
      <c r="D8" s="135" t="s">
        <v>43</v>
      </c>
      <c r="E8" s="136" t="s">
        <v>1</v>
      </c>
      <c r="F8" s="135" t="s">
        <v>66</v>
      </c>
      <c r="G8" s="137" t="s">
        <v>6</v>
      </c>
      <c r="H8" s="137" t="s">
        <v>65</v>
      </c>
      <c r="I8" s="124" t="s">
        <v>68</v>
      </c>
      <c r="J8" s="139" t="s">
        <v>78</v>
      </c>
      <c r="K8" s="125">
        <f>K11*11.2/1000</f>
        <v>0</v>
      </c>
      <c r="L8" s="79"/>
      <c r="M8" s="79"/>
      <c r="N8" s="139" t="s">
        <v>78</v>
      </c>
      <c r="O8" s="125">
        <f>O11*13/1000</f>
        <v>0</v>
      </c>
      <c r="P8" s="126"/>
      <c r="R8" s="128"/>
    </row>
    <row r="9" spans="4:18" ht="15" customHeight="1" thickBot="1" x14ac:dyDescent="0.3">
      <c r="D9" s="44" t="s">
        <v>52</v>
      </c>
      <c r="E9" s="45" t="s">
        <v>53</v>
      </c>
      <c r="F9" s="46">
        <v>2E-3</v>
      </c>
      <c r="G9" s="47"/>
      <c r="H9" s="70">
        <f t="shared" ref="H9:H10" si="0">F9*G9</f>
        <v>0</v>
      </c>
      <c r="I9" s="62"/>
      <c r="J9" s="139" t="s">
        <v>79</v>
      </c>
      <c r="K9" s="125">
        <f>K11*12.9/1000</f>
        <v>0</v>
      </c>
      <c r="L9" s="79"/>
      <c r="M9" s="79"/>
      <c r="N9" s="139" t="s">
        <v>79</v>
      </c>
      <c r="O9" s="125">
        <f>O11*14.5/1000</f>
        <v>0</v>
      </c>
      <c r="P9" s="5"/>
      <c r="R9" s="11"/>
    </row>
    <row r="10" spans="4:18" ht="15" customHeight="1" thickBot="1" x14ac:dyDescent="0.3">
      <c r="D10" s="48" t="s">
        <v>52</v>
      </c>
      <c r="E10" s="49" t="s">
        <v>54</v>
      </c>
      <c r="F10" s="24">
        <v>2.5000000000000001E-3</v>
      </c>
      <c r="G10" s="50"/>
      <c r="H10" s="71">
        <f t="shared" si="0"/>
        <v>0</v>
      </c>
      <c r="I10" s="63"/>
      <c r="J10" s="139" t="s">
        <v>80</v>
      </c>
      <c r="K10" s="125">
        <f>K11*14.6/1000</f>
        <v>0</v>
      </c>
      <c r="L10" s="79"/>
      <c r="M10" s="79"/>
      <c r="N10" s="139" t="s">
        <v>80</v>
      </c>
      <c r="O10" s="125">
        <f>O11*16.5/1000</f>
        <v>0</v>
      </c>
      <c r="P10" s="5"/>
      <c r="R10" s="11"/>
    </row>
    <row r="11" spans="4:18" ht="15" customHeight="1" thickBot="1" x14ac:dyDescent="0.3">
      <c r="D11" s="59" t="s">
        <v>7</v>
      </c>
      <c r="E11" s="51">
        <v>0.8</v>
      </c>
      <c r="F11" s="52">
        <v>3.5000000000000001E-3</v>
      </c>
      <c r="G11" s="53"/>
      <c r="H11" s="71">
        <f>F11*G11</f>
        <v>0</v>
      </c>
      <c r="I11" s="63"/>
      <c r="J11" s="139" t="s">
        <v>81</v>
      </c>
      <c r="K11" s="43"/>
      <c r="L11" s="79"/>
      <c r="M11" s="79"/>
      <c r="N11" s="139" t="s">
        <v>81</v>
      </c>
      <c r="O11" s="43"/>
      <c r="P11" s="5"/>
      <c r="R11" s="11"/>
    </row>
    <row r="12" spans="4:18" ht="15" customHeight="1" x14ac:dyDescent="0.25">
      <c r="D12" s="59" t="s">
        <v>8</v>
      </c>
      <c r="E12" s="51">
        <v>0.9</v>
      </c>
      <c r="F12" s="52">
        <v>4.0000000000000001E-3</v>
      </c>
      <c r="G12" s="53"/>
      <c r="H12" s="71">
        <f t="shared" ref="H12:H46" si="1">F12*G12</f>
        <v>0</v>
      </c>
      <c r="I12" s="64"/>
      <c r="J12" s="12"/>
      <c r="K12" s="12"/>
      <c r="N12" s="9"/>
      <c r="O12" s="5"/>
      <c r="P12" s="5"/>
      <c r="R12" s="11"/>
    </row>
    <row r="13" spans="4:18" ht="15" customHeight="1" x14ac:dyDescent="0.25">
      <c r="D13" s="59" t="s">
        <v>9</v>
      </c>
      <c r="E13" s="51">
        <v>1</v>
      </c>
      <c r="F13" s="52">
        <v>5.0000000000000001E-3</v>
      </c>
      <c r="G13" s="53"/>
      <c r="H13" s="71">
        <f t="shared" si="1"/>
        <v>0</v>
      </c>
      <c r="I13" s="65"/>
      <c r="J13" s="12"/>
      <c r="K13" s="12"/>
      <c r="N13" s="9"/>
      <c r="O13" s="10"/>
      <c r="P13" s="5"/>
      <c r="R13" s="11"/>
    </row>
    <row r="14" spans="4:18" ht="15" customHeight="1" x14ac:dyDescent="0.25">
      <c r="D14" s="59" t="s">
        <v>10</v>
      </c>
      <c r="E14" s="51">
        <v>1.1000000000000001</v>
      </c>
      <c r="F14" s="52">
        <v>7.0000000000000001E-3</v>
      </c>
      <c r="G14" s="53"/>
      <c r="H14" s="71">
        <f t="shared" si="1"/>
        <v>0</v>
      </c>
      <c r="I14" s="65"/>
      <c r="N14" s="9"/>
      <c r="O14" s="5"/>
      <c r="P14" s="5"/>
      <c r="R14" s="11"/>
    </row>
    <row r="15" spans="4:18" ht="15" customHeight="1" x14ac:dyDescent="0.25">
      <c r="D15" s="59" t="s">
        <v>11</v>
      </c>
      <c r="E15" s="52">
        <v>1.1499999999999999</v>
      </c>
      <c r="F15" s="52">
        <v>6.7000000000000002E-3</v>
      </c>
      <c r="G15" s="53"/>
      <c r="H15" s="71">
        <f t="shared" si="1"/>
        <v>0</v>
      </c>
      <c r="I15" s="66"/>
      <c r="N15" s="9"/>
      <c r="O15" s="10"/>
      <c r="P15" s="5"/>
      <c r="R15" s="11"/>
    </row>
    <row r="16" spans="4:18" ht="15" customHeight="1" x14ac:dyDescent="0.25">
      <c r="D16" s="59" t="s">
        <v>12</v>
      </c>
      <c r="E16" s="51">
        <v>1.2</v>
      </c>
      <c r="F16" s="52">
        <v>8.5000000000000006E-3</v>
      </c>
      <c r="G16" s="53"/>
      <c r="H16" s="71">
        <f t="shared" si="1"/>
        <v>0</v>
      </c>
      <c r="I16" s="65"/>
      <c r="N16" s="9"/>
      <c r="O16" s="5"/>
      <c r="P16" s="5"/>
      <c r="R16" s="11"/>
    </row>
    <row r="17" spans="4:18" ht="15" customHeight="1" x14ac:dyDescent="0.25">
      <c r="D17" s="59" t="s">
        <v>13</v>
      </c>
      <c r="E17" s="52">
        <v>1.25</v>
      </c>
      <c r="F17" s="52">
        <v>8.9999999999999993E-3</v>
      </c>
      <c r="G17" s="53"/>
      <c r="H17" s="71">
        <f t="shared" si="1"/>
        <v>0</v>
      </c>
      <c r="I17" s="66"/>
      <c r="N17" s="9"/>
      <c r="O17" s="10"/>
      <c r="P17" s="5"/>
      <c r="R17" s="11"/>
    </row>
    <row r="18" spans="4:18" ht="15" customHeight="1" x14ac:dyDescent="0.25">
      <c r="D18" s="59" t="s">
        <v>14</v>
      </c>
      <c r="E18" s="51">
        <v>1.3</v>
      </c>
      <c r="F18" s="52">
        <v>0.01</v>
      </c>
      <c r="G18" s="53"/>
      <c r="H18" s="71">
        <f t="shared" si="1"/>
        <v>0</v>
      </c>
      <c r="I18" s="66"/>
      <c r="N18" s="9"/>
      <c r="O18" s="5"/>
      <c r="P18" s="5"/>
      <c r="R18" s="11"/>
    </row>
    <row r="19" spans="4:18" ht="15" customHeight="1" x14ac:dyDescent="0.25">
      <c r="D19" s="59" t="s">
        <v>15</v>
      </c>
      <c r="E19" s="52">
        <v>1.35</v>
      </c>
      <c r="F19" s="52">
        <v>1.0999999999999999E-2</v>
      </c>
      <c r="G19" s="53"/>
      <c r="H19" s="71">
        <f t="shared" si="1"/>
        <v>0</v>
      </c>
      <c r="I19" s="66"/>
      <c r="N19" s="9"/>
      <c r="O19" s="10"/>
      <c r="P19" s="5"/>
      <c r="R19" s="11"/>
    </row>
    <row r="20" spans="4:18" ht="15" customHeight="1" x14ac:dyDescent="0.25">
      <c r="D20" s="59" t="s">
        <v>16</v>
      </c>
      <c r="E20" s="51">
        <v>1.4</v>
      </c>
      <c r="F20" s="52">
        <v>1.2E-2</v>
      </c>
      <c r="G20" s="53"/>
      <c r="H20" s="71">
        <f t="shared" si="1"/>
        <v>0</v>
      </c>
      <c r="I20" s="66"/>
      <c r="N20" s="9"/>
      <c r="O20" s="10"/>
      <c r="P20" s="5"/>
      <c r="R20" s="11"/>
    </row>
    <row r="21" spans="4:18" ht="15" customHeight="1" x14ac:dyDescent="0.25">
      <c r="D21" s="59" t="s">
        <v>17</v>
      </c>
      <c r="E21" s="52">
        <v>1.45</v>
      </c>
      <c r="F21" s="52">
        <v>1.2999999999999999E-2</v>
      </c>
      <c r="G21" s="53"/>
      <c r="H21" s="71">
        <f t="shared" si="1"/>
        <v>0</v>
      </c>
      <c r="I21" s="66"/>
      <c r="N21" s="9"/>
      <c r="O21" s="10"/>
      <c r="P21" s="5"/>
      <c r="R21" s="11"/>
    </row>
    <row r="22" spans="4:18" ht="15" customHeight="1" x14ac:dyDescent="0.25">
      <c r="D22" s="59" t="s">
        <v>18</v>
      </c>
      <c r="E22" s="51">
        <v>1.5</v>
      </c>
      <c r="F22" s="52">
        <v>1.4E-2</v>
      </c>
      <c r="G22" s="53"/>
      <c r="H22" s="71">
        <f t="shared" si="1"/>
        <v>0</v>
      </c>
      <c r="I22" s="66"/>
      <c r="N22" s="9"/>
      <c r="O22" s="10"/>
      <c r="P22" s="5"/>
      <c r="R22" s="11"/>
    </row>
    <row r="23" spans="4:18" ht="15" customHeight="1" x14ac:dyDescent="0.25">
      <c r="D23" s="59" t="s">
        <v>19</v>
      </c>
      <c r="E23" s="52">
        <v>1.55</v>
      </c>
      <c r="F23" s="52">
        <v>1.4999999999999999E-2</v>
      </c>
      <c r="G23" s="53"/>
      <c r="H23" s="71">
        <f t="shared" si="1"/>
        <v>0</v>
      </c>
      <c r="I23" s="66"/>
      <c r="N23" s="9"/>
      <c r="O23" s="10"/>
      <c r="P23" s="5"/>
      <c r="R23" s="11"/>
    </row>
    <row r="24" spans="4:18" ht="15" customHeight="1" x14ac:dyDescent="0.25">
      <c r="D24" s="59" t="s">
        <v>20</v>
      </c>
      <c r="E24" s="51">
        <v>1.6</v>
      </c>
      <c r="F24" s="52">
        <v>1.7999999999999999E-2</v>
      </c>
      <c r="G24" s="53"/>
      <c r="H24" s="71">
        <f t="shared" si="1"/>
        <v>0</v>
      </c>
      <c r="I24" s="65"/>
      <c r="N24" s="9"/>
      <c r="O24" s="10"/>
      <c r="P24" s="5"/>
      <c r="R24" s="11"/>
    </row>
    <row r="25" spans="4:18" ht="15" customHeight="1" x14ac:dyDescent="0.25">
      <c r="D25" s="59" t="s">
        <v>21</v>
      </c>
      <c r="E25" s="51">
        <v>1.7</v>
      </c>
      <c r="F25" s="52">
        <v>2.1000000000000001E-2</v>
      </c>
      <c r="G25" s="53"/>
      <c r="H25" s="71">
        <f t="shared" si="1"/>
        <v>0</v>
      </c>
      <c r="I25" s="66"/>
      <c r="N25" s="9"/>
      <c r="O25" s="10"/>
      <c r="P25" s="5"/>
      <c r="R25" s="11"/>
    </row>
    <row r="26" spans="4:18" ht="15" customHeight="1" x14ac:dyDescent="0.25">
      <c r="D26" s="59" t="s">
        <v>22</v>
      </c>
      <c r="E26" s="51">
        <v>1.8</v>
      </c>
      <c r="F26" s="52">
        <v>2.5000000000000001E-2</v>
      </c>
      <c r="G26" s="53"/>
      <c r="H26" s="71">
        <f t="shared" si="1"/>
        <v>0</v>
      </c>
      <c r="I26" s="66"/>
      <c r="N26" s="9"/>
      <c r="O26" s="10"/>
      <c r="P26" s="5"/>
      <c r="R26" s="11"/>
    </row>
    <row r="27" spans="4:18" ht="15" customHeight="1" x14ac:dyDescent="0.25">
      <c r="D27" s="59" t="s">
        <v>23</v>
      </c>
      <c r="E27" s="51">
        <v>1.9</v>
      </c>
      <c r="F27" s="52">
        <v>2.9000000000000001E-2</v>
      </c>
      <c r="G27" s="53"/>
      <c r="H27" s="71">
        <f t="shared" si="1"/>
        <v>0</v>
      </c>
      <c r="I27" s="66"/>
      <c r="N27" s="9"/>
      <c r="O27" s="10"/>
      <c r="P27" s="5"/>
      <c r="R27" s="11"/>
    </row>
    <row r="28" spans="4:18" ht="15" customHeight="1" x14ac:dyDescent="0.25">
      <c r="D28" s="59" t="s">
        <v>24</v>
      </c>
      <c r="E28" s="51">
        <v>2</v>
      </c>
      <c r="F28" s="52">
        <v>2.9000000000000001E-2</v>
      </c>
      <c r="G28" s="53"/>
      <c r="H28" s="71">
        <f t="shared" si="1"/>
        <v>0</v>
      </c>
      <c r="I28" s="66"/>
      <c r="N28" s="9"/>
      <c r="O28" s="10"/>
      <c r="P28" s="5"/>
      <c r="R28" s="11"/>
    </row>
    <row r="29" spans="4:18" ht="15" customHeight="1" x14ac:dyDescent="0.25">
      <c r="D29" s="59" t="s">
        <v>25</v>
      </c>
      <c r="E29" s="51">
        <v>2.1</v>
      </c>
      <c r="F29" s="52">
        <v>3.7999999999999999E-2</v>
      </c>
      <c r="G29" s="53"/>
      <c r="H29" s="71">
        <f t="shared" si="1"/>
        <v>0</v>
      </c>
      <c r="I29" s="67"/>
      <c r="N29" s="9"/>
      <c r="O29" s="10"/>
      <c r="P29" s="5"/>
      <c r="R29" s="11"/>
    </row>
    <row r="30" spans="4:18" ht="15" customHeight="1" x14ac:dyDescent="0.25">
      <c r="D30" s="59" t="s">
        <v>26</v>
      </c>
      <c r="E30" s="51">
        <v>2.2000000000000002</v>
      </c>
      <c r="F30" s="52">
        <v>4.4999999999999998E-2</v>
      </c>
      <c r="G30" s="53"/>
      <c r="H30" s="71">
        <f t="shared" si="1"/>
        <v>0</v>
      </c>
      <c r="I30" s="66"/>
      <c r="N30" s="9"/>
      <c r="O30" s="10"/>
      <c r="P30" s="5"/>
      <c r="R30" s="11"/>
    </row>
    <row r="31" spans="4:18" ht="15" customHeight="1" x14ac:dyDescent="0.25">
      <c r="D31" s="59" t="s">
        <v>27</v>
      </c>
      <c r="E31" s="51">
        <v>2.2999999999999998</v>
      </c>
      <c r="F31" s="52">
        <v>0.05</v>
      </c>
      <c r="G31" s="53"/>
      <c r="H31" s="71">
        <f t="shared" si="1"/>
        <v>0</v>
      </c>
      <c r="I31" s="64"/>
      <c r="N31" s="9"/>
      <c r="O31" s="10"/>
      <c r="P31" s="5"/>
      <c r="R31" s="11"/>
    </row>
    <row r="32" spans="4:18" ht="15" customHeight="1" x14ac:dyDescent="0.25">
      <c r="D32" s="59" t="s">
        <v>28</v>
      </c>
      <c r="E32" s="51">
        <v>2.4</v>
      </c>
      <c r="F32" s="52">
        <v>5.8000000000000003E-2</v>
      </c>
      <c r="G32" s="53"/>
      <c r="H32" s="71">
        <f t="shared" si="1"/>
        <v>0</v>
      </c>
      <c r="I32" s="65"/>
      <c r="N32" s="9"/>
      <c r="O32" s="10"/>
      <c r="P32" s="5"/>
      <c r="R32" s="11"/>
    </row>
    <row r="33" spans="4:18" ht="15" customHeight="1" x14ac:dyDescent="0.25">
      <c r="D33" s="59" t="s">
        <v>29</v>
      </c>
      <c r="E33" s="51">
        <v>2.5</v>
      </c>
      <c r="F33" s="52">
        <v>6.6000000000000003E-2</v>
      </c>
      <c r="G33" s="53"/>
      <c r="H33" s="71">
        <f t="shared" si="1"/>
        <v>0</v>
      </c>
      <c r="I33" s="64"/>
      <c r="N33" s="9"/>
      <c r="O33" s="10"/>
      <c r="P33" s="5"/>
      <c r="R33" s="11"/>
    </row>
    <row r="34" spans="4:18" ht="15" customHeight="1" x14ac:dyDescent="0.25">
      <c r="D34" s="59" t="s">
        <v>30</v>
      </c>
      <c r="E34" s="51">
        <v>2.6</v>
      </c>
      <c r="F34" s="52">
        <v>7.0000000000000007E-2</v>
      </c>
      <c r="G34" s="53"/>
      <c r="H34" s="71">
        <f t="shared" si="1"/>
        <v>0</v>
      </c>
      <c r="I34" s="64"/>
      <c r="N34" s="9"/>
      <c r="O34" s="10"/>
      <c r="P34" s="5"/>
      <c r="R34" s="11"/>
    </row>
    <row r="35" spans="4:18" ht="15" customHeight="1" x14ac:dyDescent="0.25">
      <c r="D35" s="59" t="s">
        <v>31</v>
      </c>
      <c r="E35" s="51">
        <v>2.7</v>
      </c>
      <c r="F35" s="52">
        <v>7.6999999999999999E-2</v>
      </c>
      <c r="G35" s="53"/>
      <c r="H35" s="71">
        <f t="shared" si="1"/>
        <v>0</v>
      </c>
      <c r="I35" s="64"/>
      <c r="N35" s="9"/>
      <c r="O35" s="10"/>
      <c r="P35" s="5"/>
      <c r="R35" s="11"/>
    </row>
    <row r="36" spans="4:18" ht="15" customHeight="1" x14ac:dyDescent="0.25">
      <c r="D36" s="59" t="s">
        <v>32</v>
      </c>
      <c r="E36" s="51">
        <v>2.8</v>
      </c>
      <c r="F36" s="52">
        <v>8.5999999999999993E-2</v>
      </c>
      <c r="G36" s="53"/>
      <c r="H36" s="71">
        <f t="shared" si="1"/>
        <v>0</v>
      </c>
      <c r="I36" s="64"/>
      <c r="N36" s="9"/>
      <c r="O36" s="10"/>
      <c r="P36" s="5"/>
      <c r="R36" s="11"/>
    </row>
    <row r="37" spans="4:18" ht="15" customHeight="1" x14ac:dyDescent="0.25">
      <c r="D37" s="59" t="s">
        <v>33</v>
      </c>
      <c r="E37" s="51">
        <v>2.9</v>
      </c>
      <c r="F37" s="52">
        <v>9.4E-2</v>
      </c>
      <c r="G37" s="53"/>
      <c r="H37" s="71">
        <f t="shared" si="1"/>
        <v>0</v>
      </c>
      <c r="I37" s="64"/>
      <c r="N37" s="9"/>
      <c r="O37" s="10"/>
      <c r="P37" s="5"/>
      <c r="R37" s="11"/>
    </row>
    <row r="38" spans="4:18" ht="15" customHeight="1" x14ac:dyDescent="0.25">
      <c r="D38" s="59" t="s">
        <v>34</v>
      </c>
      <c r="E38" s="51">
        <v>3</v>
      </c>
      <c r="F38" s="52">
        <v>0.10299999999999999</v>
      </c>
      <c r="G38" s="53"/>
      <c r="H38" s="71">
        <f t="shared" si="1"/>
        <v>0</v>
      </c>
      <c r="I38" s="64"/>
      <c r="N38" s="9"/>
      <c r="O38" s="10"/>
      <c r="P38" s="5"/>
      <c r="R38" s="11"/>
    </row>
    <row r="39" spans="4:18" ht="15" customHeight="1" x14ac:dyDescent="0.25">
      <c r="D39" s="59" t="s">
        <v>35</v>
      </c>
      <c r="E39" s="51">
        <v>3.1</v>
      </c>
      <c r="F39" s="52">
        <v>0.11899999999999999</v>
      </c>
      <c r="G39" s="53"/>
      <c r="H39" s="71">
        <f t="shared" si="1"/>
        <v>0</v>
      </c>
      <c r="I39" s="64"/>
      <c r="N39" s="9"/>
      <c r="O39" s="10"/>
      <c r="P39" s="5"/>
      <c r="R39" s="11"/>
    </row>
    <row r="40" spans="4:18" ht="15" customHeight="1" x14ac:dyDescent="0.25">
      <c r="D40" s="59" t="s">
        <v>36</v>
      </c>
      <c r="E40" s="51">
        <v>3.2</v>
      </c>
      <c r="F40" s="52">
        <v>0.13100000000000001</v>
      </c>
      <c r="G40" s="53"/>
      <c r="H40" s="71">
        <f t="shared" si="1"/>
        <v>0</v>
      </c>
      <c r="I40" s="64"/>
      <c r="N40" s="9"/>
      <c r="O40" s="10"/>
      <c r="P40" s="5"/>
      <c r="R40" s="11"/>
    </row>
    <row r="41" spans="4:18" ht="15" customHeight="1" x14ac:dyDescent="0.25">
      <c r="D41" s="59" t="s">
        <v>37</v>
      </c>
      <c r="E41" s="51">
        <v>3.3</v>
      </c>
      <c r="F41" s="52">
        <v>0.14399999999999999</v>
      </c>
      <c r="G41" s="53"/>
      <c r="H41" s="71">
        <f t="shared" si="1"/>
        <v>0</v>
      </c>
      <c r="I41" s="64"/>
      <c r="N41" s="9"/>
      <c r="O41" s="10"/>
      <c r="P41" s="5"/>
      <c r="R41" s="11"/>
    </row>
    <row r="42" spans="4:18" ht="15" customHeight="1" x14ac:dyDescent="0.25">
      <c r="D42" s="59" t="s">
        <v>38</v>
      </c>
      <c r="E42" s="51">
        <v>3.4</v>
      </c>
      <c r="F42" s="52">
        <v>0.158</v>
      </c>
      <c r="G42" s="53"/>
      <c r="H42" s="71">
        <f t="shared" si="1"/>
        <v>0</v>
      </c>
      <c r="I42" s="64"/>
      <c r="N42" s="202"/>
      <c r="O42" s="202"/>
      <c r="P42" s="202"/>
      <c r="Q42" s="13"/>
      <c r="R42" s="14"/>
    </row>
    <row r="43" spans="4:18" ht="15" customHeight="1" x14ac:dyDescent="0.25">
      <c r="D43" s="59" t="s">
        <v>39</v>
      </c>
      <c r="E43" s="51">
        <v>3.5</v>
      </c>
      <c r="F43" s="52">
        <v>0.16700000000000001</v>
      </c>
      <c r="G43" s="53"/>
      <c r="H43" s="71">
        <f t="shared" si="1"/>
        <v>0</v>
      </c>
      <c r="I43" s="66"/>
    </row>
    <row r="44" spans="4:18" ht="15" customHeight="1" x14ac:dyDescent="0.25">
      <c r="D44" s="59" t="s">
        <v>40</v>
      </c>
      <c r="E44" s="51">
        <v>3.6</v>
      </c>
      <c r="F44" s="52">
        <v>0.17499999999999999</v>
      </c>
      <c r="G44" s="53"/>
      <c r="H44" s="71">
        <f t="shared" si="1"/>
        <v>0</v>
      </c>
      <c r="I44" s="64"/>
    </row>
    <row r="45" spans="4:18" ht="15" customHeight="1" x14ac:dyDescent="0.25">
      <c r="D45" s="59" t="s">
        <v>41</v>
      </c>
      <c r="E45" s="51">
        <v>3.7</v>
      </c>
      <c r="F45" s="52">
        <v>0.188</v>
      </c>
      <c r="G45" s="53"/>
      <c r="H45" s="71">
        <f t="shared" si="1"/>
        <v>0</v>
      </c>
      <c r="I45" s="64"/>
    </row>
    <row r="46" spans="4:18" ht="15" customHeight="1" thickBot="1" x14ac:dyDescent="0.3">
      <c r="D46" s="60" t="s">
        <v>42</v>
      </c>
      <c r="E46" s="54">
        <v>3.8</v>
      </c>
      <c r="F46" s="55">
        <v>0.19600000000000001</v>
      </c>
      <c r="G46" s="56"/>
      <c r="H46" s="72">
        <f t="shared" si="1"/>
        <v>0</v>
      </c>
      <c r="I46" s="68"/>
    </row>
    <row r="47" spans="4:18" ht="16.899999999999999" customHeight="1" thickBot="1" x14ac:dyDescent="0.3">
      <c r="D47" s="205" t="s">
        <v>75</v>
      </c>
      <c r="E47" s="205"/>
      <c r="F47" s="205"/>
      <c r="G47" s="57">
        <f>SUM(G9:G46)</f>
        <v>0</v>
      </c>
      <c r="H47" s="58">
        <f>SUM(H9:H46)</f>
        <v>0</v>
      </c>
      <c r="I47" s="69">
        <f>SUM(I9:I46)</f>
        <v>0</v>
      </c>
    </row>
  </sheetData>
  <sheetProtection selectLockedCells="1"/>
  <autoFilter ref="D8:I47" xr:uid="{00000000-0009-0000-0000-000001000000}"/>
  <mergeCells count="7">
    <mergeCell ref="D5:E5"/>
    <mergeCell ref="N42:P42"/>
    <mergeCell ref="D6:E6"/>
    <mergeCell ref="D47:F47"/>
    <mergeCell ref="D7:H7"/>
    <mergeCell ref="J7:K7"/>
    <mergeCell ref="N7:O7"/>
  </mergeCells>
  <pageMargins left="0.7" right="0.7" top="0.75" bottom="0.75" header="0.3" footer="0.3"/>
  <pageSetup orientation="portrait" r:id="rId1"/>
  <ignoredErrors>
    <ignoredError sqref="D9:E10 D1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42"/>
  <sheetViews>
    <sheetView showGridLines="0" topLeftCell="A27" zoomScaleNormal="100" workbookViewId="0">
      <selection activeCell="O45" sqref="O45"/>
    </sheetView>
  </sheetViews>
  <sheetFormatPr defaultColWidth="8.7109375" defaultRowHeight="14.25" x14ac:dyDescent="0.2"/>
  <cols>
    <col min="1" max="3" width="8.7109375" style="1"/>
    <col min="4" max="4" width="2.7109375" style="1" customWidth="1"/>
    <col min="5" max="6" width="10.7109375" style="1" customWidth="1"/>
    <col min="7" max="7" width="2.7109375" style="1" customWidth="1"/>
    <col min="8" max="9" width="8.7109375" style="1"/>
    <col min="10" max="10" width="10.7109375" style="1" customWidth="1"/>
    <col min="11" max="12" width="0" style="1" hidden="1" customWidth="1"/>
    <col min="13" max="13" width="2.7109375" style="1" customWidth="1"/>
    <col min="14" max="14" width="8.7109375" style="1"/>
    <col min="15" max="15" width="10.42578125" style="1" customWidth="1"/>
    <col min="16" max="16" width="10.7109375" style="1" customWidth="1"/>
    <col min="17" max="17" width="0" style="1" hidden="1" customWidth="1"/>
    <col min="18" max="16384" width="8.7109375" style="1"/>
  </cols>
  <sheetData>
    <row r="1" spans="1:22" ht="14.25" customHeight="1" x14ac:dyDescent="0.2">
      <c r="A1" s="212" t="s">
        <v>83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212"/>
      <c r="Q1" s="32"/>
    </row>
    <row r="2" spans="1:22" ht="14.25" customHeight="1" x14ac:dyDescent="0.2">
      <c r="A2" s="212"/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32"/>
    </row>
    <row r="3" spans="1:22" ht="15" customHeight="1" x14ac:dyDescent="0.2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32"/>
    </row>
    <row r="4" spans="1:22" ht="25.15" customHeight="1" x14ac:dyDescent="0.2">
      <c r="A4" s="211" t="s">
        <v>0</v>
      </c>
      <c r="B4" s="211"/>
      <c r="C4" s="211"/>
      <c r="D4" s="217"/>
      <c r="E4" s="211" t="s">
        <v>45</v>
      </c>
      <c r="F4" s="211"/>
      <c r="G4" s="220"/>
      <c r="H4" s="211" t="s">
        <v>4</v>
      </c>
      <c r="I4" s="211"/>
      <c r="J4" s="211"/>
      <c r="K4" s="33"/>
      <c r="L4" s="33"/>
      <c r="M4" s="223"/>
      <c r="N4" s="211" t="s">
        <v>2</v>
      </c>
      <c r="O4" s="211"/>
      <c r="P4" s="211"/>
      <c r="Q4" s="39"/>
      <c r="U4" s="17"/>
      <c r="V4" s="17"/>
    </row>
    <row r="5" spans="1:22" ht="19.899999999999999" customHeight="1" x14ac:dyDescent="0.2">
      <c r="A5" s="28" t="s">
        <v>67</v>
      </c>
      <c r="B5" s="28" t="s">
        <v>69</v>
      </c>
      <c r="C5" s="28" t="s">
        <v>49</v>
      </c>
      <c r="D5" s="218"/>
      <c r="E5" s="28" t="s">
        <v>44</v>
      </c>
      <c r="F5" s="28" t="s">
        <v>46</v>
      </c>
      <c r="G5" s="221"/>
      <c r="H5" s="28" t="s">
        <v>43</v>
      </c>
      <c r="I5" s="28" t="s">
        <v>1</v>
      </c>
      <c r="J5" s="28" t="s">
        <v>5</v>
      </c>
      <c r="K5" s="34"/>
      <c r="L5" s="34"/>
      <c r="M5" s="223"/>
      <c r="N5" s="28" t="s">
        <v>82</v>
      </c>
      <c r="O5" s="28" t="s">
        <v>1</v>
      </c>
      <c r="P5" s="28" t="s">
        <v>61</v>
      </c>
      <c r="Q5" s="29"/>
      <c r="T5" s="17"/>
      <c r="U5" s="17"/>
      <c r="V5" s="17"/>
    </row>
    <row r="6" spans="1:22" ht="15.75" customHeight="1" x14ac:dyDescent="0.2">
      <c r="A6" s="20">
        <v>1</v>
      </c>
      <c r="B6" s="19">
        <f>C6/3.142</f>
        <v>13.049013367281987</v>
      </c>
      <c r="C6" s="20">
        <v>41</v>
      </c>
      <c r="D6" s="218"/>
      <c r="E6" s="20">
        <v>1</v>
      </c>
      <c r="F6" s="20">
        <v>7.62</v>
      </c>
      <c r="G6" s="221"/>
      <c r="H6" s="36" t="s">
        <v>64</v>
      </c>
      <c r="I6" s="19">
        <v>0.8</v>
      </c>
      <c r="J6" s="20">
        <v>3.0000000000000001E-3</v>
      </c>
      <c r="K6" s="35"/>
      <c r="L6" s="37"/>
      <c r="M6" s="223"/>
      <c r="N6" s="22">
        <v>1.1200000000000001</v>
      </c>
      <c r="O6" s="22">
        <v>44.5</v>
      </c>
      <c r="P6" s="40">
        <v>139.69999999999999</v>
      </c>
      <c r="Q6" s="18"/>
      <c r="T6" s="17"/>
      <c r="U6" s="17"/>
      <c r="V6" s="17"/>
    </row>
    <row r="7" spans="1:22" ht="15.75" customHeight="1" x14ac:dyDescent="0.2">
      <c r="A7" s="20">
        <v>2</v>
      </c>
      <c r="B7" s="19">
        <f t="shared" ref="B7:B41" si="0">C7/3.142</f>
        <v>13.367281985996181</v>
      </c>
      <c r="C7" s="20">
        <v>42</v>
      </c>
      <c r="D7" s="218"/>
      <c r="E7" s="20">
        <v>2</v>
      </c>
      <c r="F7" s="20">
        <v>7.01</v>
      </c>
      <c r="G7" s="221"/>
      <c r="H7" s="36" t="s">
        <v>8</v>
      </c>
      <c r="I7" s="19">
        <v>0.9</v>
      </c>
      <c r="J7" s="20">
        <v>4.0000000000000001E-3</v>
      </c>
      <c r="K7" s="35"/>
      <c r="L7" s="37"/>
      <c r="M7" s="223"/>
      <c r="N7" s="24">
        <v>1.1399999999999999</v>
      </c>
      <c r="O7" s="20">
        <v>47.6</v>
      </c>
      <c r="P7" s="20">
        <v>149.4</v>
      </c>
      <c r="Q7" s="21"/>
    </row>
    <row r="8" spans="1:22" ht="15.75" customHeight="1" x14ac:dyDescent="0.2">
      <c r="A8" s="20">
        <v>3</v>
      </c>
      <c r="B8" s="19">
        <f t="shared" si="0"/>
        <v>13.685550604710375</v>
      </c>
      <c r="C8" s="20">
        <v>43</v>
      </c>
      <c r="D8" s="218"/>
      <c r="E8" s="20">
        <v>3</v>
      </c>
      <c r="F8" s="19">
        <v>6.4</v>
      </c>
      <c r="G8" s="221"/>
      <c r="H8" s="36" t="s">
        <v>9</v>
      </c>
      <c r="I8" s="19">
        <v>1</v>
      </c>
      <c r="J8" s="20">
        <v>5.0000000000000001E-3</v>
      </c>
      <c r="K8" s="35"/>
      <c r="L8" s="37"/>
      <c r="M8" s="223"/>
      <c r="N8" s="24">
        <v>2</v>
      </c>
      <c r="O8" s="20">
        <v>50.8</v>
      </c>
      <c r="P8" s="20">
        <v>159.5</v>
      </c>
      <c r="Q8" s="21"/>
    </row>
    <row r="9" spans="1:22" ht="16.5" customHeight="1" x14ac:dyDescent="0.2">
      <c r="A9" s="20">
        <v>4</v>
      </c>
      <c r="B9" s="19">
        <f t="shared" si="0"/>
        <v>14.003819223424571</v>
      </c>
      <c r="C9" s="20">
        <v>44</v>
      </c>
      <c r="D9" s="218"/>
      <c r="E9" s="20">
        <v>4</v>
      </c>
      <c r="F9" s="20">
        <v>5.89</v>
      </c>
      <c r="G9" s="221"/>
      <c r="H9" s="36" t="s">
        <v>10</v>
      </c>
      <c r="I9" s="19">
        <v>1.1000000000000001</v>
      </c>
      <c r="J9" s="20">
        <v>7.0000000000000001E-3</v>
      </c>
      <c r="K9" s="35"/>
      <c r="L9" s="37"/>
      <c r="M9" s="223"/>
      <c r="N9" s="22">
        <v>2.1</v>
      </c>
      <c r="O9" s="22">
        <v>52.9</v>
      </c>
      <c r="P9" s="22">
        <v>166.1</v>
      </c>
      <c r="Q9" s="23"/>
    </row>
    <row r="10" spans="1:22" ht="15.75" customHeight="1" x14ac:dyDescent="0.2">
      <c r="A10" s="20">
        <v>5</v>
      </c>
      <c r="B10" s="19">
        <f t="shared" si="0"/>
        <v>14.322087842138766</v>
      </c>
      <c r="C10" s="20">
        <v>45</v>
      </c>
      <c r="D10" s="218"/>
      <c r="E10" s="20">
        <v>5</v>
      </c>
      <c r="F10" s="20">
        <v>5.39</v>
      </c>
      <c r="G10" s="221"/>
      <c r="H10" s="36" t="s">
        <v>11</v>
      </c>
      <c r="I10" s="20">
        <v>1.1499999999999999</v>
      </c>
      <c r="J10" s="20">
        <v>6.7000000000000002E-3</v>
      </c>
      <c r="K10" s="35"/>
      <c r="L10" s="37"/>
      <c r="M10" s="223"/>
      <c r="N10" s="24">
        <v>2.2000000000000002</v>
      </c>
      <c r="O10" s="24">
        <v>53.9</v>
      </c>
      <c r="P10" s="24">
        <v>169.2</v>
      </c>
      <c r="Q10" s="25"/>
    </row>
    <row r="11" spans="1:22" ht="15.75" customHeight="1" x14ac:dyDescent="0.2">
      <c r="A11" s="20">
        <v>6</v>
      </c>
      <c r="B11" s="19">
        <f t="shared" si="0"/>
        <v>14.64035646085296</v>
      </c>
      <c r="C11" s="20">
        <v>46</v>
      </c>
      <c r="D11" s="218"/>
      <c r="E11" s="20">
        <v>6</v>
      </c>
      <c r="F11" s="20">
        <v>4.88</v>
      </c>
      <c r="G11" s="221"/>
      <c r="H11" s="36" t="s">
        <v>12</v>
      </c>
      <c r="I11" s="19">
        <v>1.2</v>
      </c>
      <c r="J11" s="20">
        <v>8.5000000000000006E-3</v>
      </c>
      <c r="K11" s="35"/>
      <c r="L11" s="37"/>
      <c r="M11" s="223"/>
      <c r="N11" s="24">
        <v>2.2999999999999998</v>
      </c>
      <c r="O11" s="20">
        <v>55.5</v>
      </c>
      <c r="P11" s="20">
        <v>174.2</v>
      </c>
      <c r="Q11" s="21"/>
    </row>
    <row r="12" spans="1:22" ht="15.75" customHeight="1" x14ac:dyDescent="0.2">
      <c r="A12" s="20">
        <v>7</v>
      </c>
      <c r="B12" s="19">
        <f t="shared" si="0"/>
        <v>14.958625079567154</v>
      </c>
      <c r="C12" s="20">
        <v>47</v>
      </c>
      <c r="D12" s="218"/>
      <c r="E12" s="20">
        <v>7</v>
      </c>
      <c r="F12" s="20">
        <v>4.47</v>
      </c>
      <c r="G12" s="221"/>
      <c r="H12" s="36" t="s">
        <v>13</v>
      </c>
      <c r="I12" s="20">
        <v>1.25</v>
      </c>
      <c r="J12" s="20">
        <v>8.9999999999999993E-3</v>
      </c>
      <c r="K12" s="35"/>
      <c r="L12" s="37"/>
      <c r="M12" s="223"/>
      <c r="N12" s="22">
        <v>2.4</v>
      </c>
      <c r="O12" s="22">
        <v>57.1</v>
      </c>
      <c r="P12" s="22">
        <v>179.2</v>
      </c>
      <c r="Q12" s="23"/>
    </row>
    <row r="13" spans="1:22" ht="16.5" customHeight="1" x14ac:dyDescent="0.2">
      <c r="A13" s="20">
        <v>8</v>
      </c>
      <c r="B13" s="19">
        <f t="shared" si="0"/>
        <v>15.27689369828135</v>
      </c>
      <c r="C13" s="20">
        <v>48</v>
      </c>
      <c r="D13" s="218"/>
      <c r="E13" s="20">
        <v>8</v>
      </c>
      <c r="F13" s="20">
        <v>4.0599999999999996</v>
      </c>
      <c r="G13" s="221"/>
      <c r="H13" s="36" t="s">
        <v>14</v>
      </c>
      <c r="I13" s="19">
        <v>1.3</v>
      </c>
      <c r="J13" s="20">
        <v>0.01</v>
      </c>
      <c r="K13" s="35"/>
      <c r="L13" s="37"/>
      <c r="M13" s="223"/>
      <c r="N13" s="24">
        <v>2.5</v>
      </c>
      <c r="O13" s="24">
        <v>58.7</v>
      </c>
      <c r="P13" s="24">
        <v>184.3</v>
      </c>
      <c r="Q13" s="25"/>
      <c r="T13" s="17"/>
    </row>
    <row r="14" spans="1:22" ht="14.25" customHeight="1" x14ac:dyDescent="0.2">
      <c r="A14" s="20">
        <v>9</v>
      </c>
      <c r="B14" s="19">
        <f t="shared" si="0"/>
        <v>15.595162316995545</v>
      </c>
      <c r="C14" s="20">
        <v>49</v>
      </c>
      <c r="D14" s="218"/>
      <c r="E14" s="20">
        <v>9</v>
      </c>
      <c r="F14" s="20">
        <v>3.66</v>
      </c>
      <c r="G14" s="221"/>
      <c r="H14" s="36" t="s">
        <v>15</v>
      </c>
      <c r="I14" s="20">
        <v>1.35</v>
      </c>
      <c r="J14" s="20">
        <v>1.0999999999999999E-2</v>
      </c>
      <c r="K14" s="35"/>
      <c r="L14" s="37"/>
      <c r="M14" s="223"/>
      <c r="N14" s="24">
        <v>2.6</v>
      </c>
      <c r="O14" s="20">
        <v>60.3</v>
      </c>
      <c r="P14" s="20">
        <v>189.3</v>
      </c>
      <c r="Q14" s="21"/>
    </row>
    <row r="15" spans="1:22" ht="15" customHeight="1" x14ac:dyDescent="0.2">
      <c r="A15" s="20">
        <v>10</v>
      </c>
      <c r="B15" s="19">
        <f t="shared" si="0"/>
        <v>15.913430935709739</v>
      </c>
      <c r="C15" s="20">
        <v>50</v>
      </c>
      <c r="D15" s="218"/>
      <c r="E15" s="20">
        <v>10</v>
      </c>
      <c r="F15" s="20">
        <v>3.25</v>
      </c>
      <c r="G15" s="221"/>
      <c r="H15" s="36" t="s">
        <v>16</v>
      </c>
      <c r="I15" s="19">
        <v>1.4</v>
      </c>
      <c r="J15" s="20">
        <v>1.2E-2</v>
      </c>
      <c r="K15" s="35"/>
      <c r="L15" s="37"/>
      <c r="M15" s="223"/>
      <c r="N15" s="24">
        <v>2.7</v>
      </c>
      <c r="O15" s="20">
        <v>61.9</v>
      </c>
      <c r="P15" s="20">
        <v>194.3</v>
      </c>
      <c r="Q15" s="21"/>
    </row>
    <row r="16" spans="1:22" ht="16.5" customHeight="1" x14ac:dyDescent="0.2">
      <c r="A16" s="20">
        <v>11</v>
      </c>
      <c r="B16" s="19">
        <f t="shared" si="0"/>
        <v>16.231699554423933</v>
      </c>
      <c r="C16" s="20">
        <v>51</v>
      </c>
      <c r="D16" s="218"/>
      <c r="E16" s="20">
        <v>11</v>
      </c>
      <c r="F16" s="20">
        <v>2.95</v>
      </c>
      <c r="G16" s="221"/>
      <c r="H16" s="36" t="s">
        <v>17</v>
      </c>
      <c r="I16" s="20">
        <v>1.45</v>
      </c>
      <c r="J16" s="20">
        <v>1.2999999999999999E-2</v>
      </c>
      <c r="K16" s="35"/>
      <c r="L16" s="37"/>
      <c r="M16" s="223"/>
      <c r="N16" s="24">
        <v>2.8</v>
      </c>
      <c r="O16" s="20">
        <v>63.5</v>
      </c>
      <c r="P16" s="20">
        <v>199.3</v>
      </c>
      <c r="Q16" s="21"/>
    </row>
    <row r="17" spans="1:25" ht="15.75" customHeight="1" x14ac:dyDescent="0.2">
      <c r="A17" s="20">
        <v>12</v>
      </c>
      <c r="B17" s="19">
        <f t="shared" si="0"/>
        <v>16.549968173138129</v>
      </c>
      <c r="C17" s="20">
        <v>52</v>
      </c>
      <c r="D17" s="218"/>
      <c r="E17" s="20">
        <v>12</v>
      </c>
      <c r="F17" s="20">
        <v>2.64</v>
      </c>
      <c r="G17" s="221"/>
      <c r="H17" s="36" t="s">
        <v>18</v>
      </c>
      <c r="I17" s="19">
        <v>1.5</v>
      </c>
      <c r="J17" s="20">
        <v>1.4999999999999999E-2</v>
      </c>
      <c r="K17" s="35"/>
      <c r="L17" s="37"/>
      <c r="M17" s="223"/>
      <c r="N17" s="24">
        <v>2.9</v>
      </c>
      <c r="O17" s="20">
        <v>65</v>
      </c>
      <c r="P17" s="20">
        <v>204.1</v>
      </c>
      <c r="Q17" s="21"/>
    </row>
    <row r="18" spans="1:25" ht="15.75" customHeight="1" x14ac:dyDescent="0.2">
      <c r="A18" s="20">
        <v>13</v>
      </c>
      <c r="B18" s="19">
        <f t="shared" si="0"/>
        <v>16.868236791852325</v>
      </c>
      <c r="C18" s="20">
        <v>53</v>
      </c>
      <c r="D18" s="218"/>
      <c r="E18" s="20">
        <v>13</v>
      </c>
      <c r="F18" s="20">
        <v>2.34</v>
      </c>
      <c r="G18" s="221"/>
      <c r="H18" s="36" t="s">
        <v>19</v>
      </c>
      <c r="I18" s="20">
        <v>1.55</v>
      </c>
      <c r="J18" s="20">
        <v>1.4999999999999999E-2</v>
      </c>
      <c r="K18" s="35"/>
      <c r="L18" s="37"/>
      <c r="M18" s="223"/>
      <c r="N18" s="41">
        <v>2.1</v>
      </c>
      <c r="O18" s="20">
        <v>66</v>
      </c>
      <c r="P18" s="20">
        <v>209.1</v>
      </c>
      <c r="Q18" s="21"/>
    </row>
    <row r="19" spans="1:25" ht="15.75" customHeight="1" x14ac:dyDescent="0.2">
      <c r="A19" s="20">
        <v>14</v>
      </c>
      <c r="B19" s="19">
        <f t="shared" si="0"/>
        <v>17.186505410566518</v>
      </c>
      <c r="C19" s="20">
        <v>54</v>
      </c>
      <c r="D19" s="218"/>
      <c r="E19" s="20">
        <v>14</v>
      </c>
      <c r="F19" s="20">
        <v>2.0299999999999998</v>
      </c>
      <c r="G19" s="221"/>
      <c r="H19" s="36" t="s">
        <v>20</v>
      </c>
      <c r="I19" s="19">
        <v>1.6</v>
      </c>
      <c r="J19" s="20">
        <v>1.7999999999999999E-2</v>
      </c>
      <c r="K19" s="35"/>
      <c r="L19" s="37"/>
      <c r="M19" s="224"/>
      <c r="N19" s="42"/>
      <c r="O19" s="25"/>
      <c r="P19" s="25"/>
      <c r="Q19" s="25"/>
      <c r="S19" s="16"/>
    </row>
    <row r="20" spans="1:25" ht="15.75" customHeight="1" x14ac:dyDescent="0.2">
      <c r="A20" s="20">
        <v>15</v>
      </c>
      <c r="B20" s="19">
        <f t="shared" si="0"/>
        <v>17.504774029280714</v>
      </c>
      <c r="C20" s="20">
        <v>55</v>
      </c>
      <c r="D20" s="218"/>
      <c r="E20" s="20">
        <v>15</v>
      </c>
      <c r="F20" s="20">
        <v>1.83</v>
      </c>
      <c r="G20" s="221"/>
      <c r="H20" s="36" t="s">
        <v>21</v>
      </c>
      <c r="I20" s="19">
        <v>1.7</v>
      </c>
      <c r="J20" s="20">
        <v>0.02</v>
      </c>
      <c r="K20" s="35"/>
      <c r="L20" s="37"/>
      <c r="M20" s="224"/>
      <c r="N20" s="23"/>
      <c r="O20" s="23"/>
      <c r="P20" s="23"/>
      <c r="Q20" s="23"/>
    </row>
    <row r="21" spans="1:25" ht="15.75" customHeight="1" x14ac:dyDescent="0.2">
      <c r="A21" s="20">
        <v>16</v>
      </c>
      <c r="B21" s="19">
        <f t="shared" si="0"/>
        <v>17.823042647994907</v>
      </c>
      <c r="C21" s="20">
        <v>56</v>
      </c>
      <c r="D21" s="218"/>
      <c r="E21" s="20">
        <v>16</v>
      </c>
      <c r="F21" s="20">
        <v>1.63</v>
      </c>
      <c r="G21" s="221"/>
      <c r="H21" s="36" t="s">
        <v>22</v>
      </c>
      <c r="I21" s="19">
        <v>1.8</v>
      </c>
      <c r="J21" s="20">
        <v>2.5000000000000001E-2</v>
      </c>
      <c r="K21" s="35"/>
      <c r="L21" s="37"/>
      <c r="M21" s="224"/>
      <c r="N21" s="213"/>
      <c r="O21" s="213"/>
      <c r="P21" s="213"/>
      <c r="Q21" s="213"/>
    </row>
    <row r="22" spans="1:25" ht="15.75" customHeight="1" x14ac:dyDescent="0.2">
      <c r="A22" s="20">
        <v>17</v>
      </c>
      <c r="B22" s="19">
        <f t="shared" si="0"/>
        <v>18.141311266709103</v>
      </c>
      <c r="C22" s="20">
        <v>57</v>
      </c>
      <c r="D22" s="218"/>
      <c r="E22" s="20">
        <v>17</v>
      </c>
      <c r="F22" s="20">
        <v>1.42</v>
      </c>
      <c r="G22" s="221"/>
      <c r="H22" s="36" t="s">
        <v>23</v>
      </c>
      <c r="I22" s="19">
        <v>1.9</v>
      </c>
      <c r="J22" s="20">
        <v>2.9000000000000001E-2</v>
      </c>
      <c r="K22" s="35"/>
      <c r="L22" s="37"/>
      <c r="M22" s="224"/>
      <c r="N22" s="26"/>
      <c r="O22" s="26"/>
      <c r="P22" s="26"/>
      <c r="Q22" s="26"/>
    </row>
    <row r="23" spans="1:25" ht="15.75" customHeight="1" x14ac:dyDescent="0.2">
      <c r="A23" s="20">
        <v>18</v>
      </c>
      <c r="B23" s="19">
        <f t="shared" si="0"/>
        <v>18.459579885423299</v>
      </c>
      <c r="C23" s="20">
        <v>58</v>
      </c>
      <c r="D23" s="218"/>
      <c r="E23" s="20">
        <v>18</v>
      </c>
      <c r="F23" s="20">
        <v>1.22</v>
      </c>
      <c r="G23" s="221"/>
      <c r="H23" s="36" t="s">
        <v>24</v>
      </c>
      <c r="I23" s="19">
        <v>2</v>
      </c>
      <c r="J23" s="20">
        <v>0.03</v>
      </c>
      <c r="K23" s="35"/>
      <c r="L23" s="37"/>
      <c r="M23" s="224"/>
      <c r="N23" s="26"/>
      <c r="O23" s="26"/>
      <c r="P23" s="26"/>
      <c r="Q23" s="26"/>
    </row>
    <row r="24" spans="1:25" ht="15" customHeight="1" x14ac:dyDescent="0.2">
      <c r="A24" s="20">
        <v>19</v>
      </c>
      <c r="B24" s="19">
        <f t="shared" si="0"/>
        <v>18.777848504137491</v>
      </c>
      <c r="C24" s="20">
        <v>59</v>
      </c>
      <c r="D24" s="218"/>
      <c r="E24" s="20">
        <v>19</v>
      </c>
      <c r="F24" s="20">
        <v>1.02</v>
      </c>
      <c r="G24" s="221"/>
      <c r="H24" s="36" t="s">
        <v>25</v>
      </c>
      <c r="I24" s="19">
        <v>2.1</v>
      </c>
      <c r="J24" s="20">
        <v>3.5000000000000003E-2</v>
      </c>
      <c r="K24" s="35"/>
      <c r="L24" s="37"/>
      <c r="M24" s="224"/>
      <c r="N24" s="26"/>
      <c r="O24" s="26"/>
      <c r="P24" s="26"/>
      <c r="Q24" s="26"/>
    </row>
    <row r="25" spans="1:25" ht="15" customHeight="1" x14ac:dyDescent="0.2">
      <c r="A25" s="20">
        <v>20</v>
      </c>
      <c r="B25" s="19">
        <f t="shared" si="0"/>
        <v>19.096117122851687</v>
      </c>
      <c r="C25" s="20">
        <v>60</v>
      </c>
      <c r="D25" s="218"/>
      <c r="E25" s="20">
        <v>20</v>
      </c>
      <c r="F25" s="20">
        <v>0.91</v>
      </c>
      <c r="G25" s="221"/>
      <c r="H25" s="36" t="s">
        <v>26</v>
      </c>
      <c r="I25" s="19">
        <v>2.2000000000000002</v>
      </c>
      <c r="J25" s="20">
        <v>0.04</v>
      </c>
      <c r="K25" s="35"/>
      <c r="L25" s="37"/>
      <c r="M25" s="224"/>
      <c r="N25" s="26"/>
      <c r="O25" s="26"/>
      <c r="P25" s="26"/>
      <c r="Q25" s="26"/>
      <c r="Y25" s="3"/>
    </row>
    <row r="26" spans="1:25" ht="15" customHeight="1" x14ac:dyDescent="0.2">
      <c r="A26" s="20">
        <v>21</v>
      </c>
      <c r="B26" s="19">
        <f t="shared" si="0"/>
        <v>19.414385741565884</v>
      </c>
      <c r="C26" s="20">
        <v>61</v>
      </c>
      <c r="D26" s="218"/>
      <c r="E26" s="20">
        <v>21</v>
      </c>
      <c r="F26" s="20">
        <v>0.81</v>
      </c>
      <c r="G26" s="221"/>
      <c r="H26" s="36" t="s">
        <v>27</v>
      </c>
      <c r="I26" s="19">
        <v>2.2999999999999998</v>
      </c>
      <c r="J26" s="20">
        <v>0.05</v>
      </c>
      <c r="K26" s="35"/>
      <c r="L26" s="37"/>
      <c r="M26" s="224"/>
      <c r="N26" s="26"/>
      <c r="O26" s="26"/>
      <c r="P26" s="26"/>
      <c r="Q26" s="26"/>
    </row>
    <row r="27" spans="1:25" ht="15" customHeight="1" x14ac:dyDescent="0.2">
      <c r="A27" s="20">
        <v>22</v>
      </c>
      <c r="B27" s="19">
        <f t="shared" si="0"/>
        <v>19.732654360280076</v>
      </c>
      <c r="C27" s="20">
        <v>62</v>
      </c>
      <c r="D27" s="218"/>
      <c r="E27" s="20">
        <v>22</v>
      </c>
      <c r="F27" s="20">
        <v>0.71</v>
      </c>
      <c r="G27" s="221"/>
      <c r="H27" s="36" t="s">
        <v>28</v>
      </c>
      <c r="I27" s="19">
        <v>2.4</v>
      </c>
      <c r="J27" s="20">
        <v>5.8000000000000003E-2</v>
      </c>
      <c r="K27" s="35"/>
      <c r="L27" s="37"/>
      <c r="M27" s="224"/>
      <c r="N27" s="26"/>
      <c r="O27" s="26"/>
      <c r="P27" s="26"/>
      <c r="Q27" s="26"/>
    </row>
    <row r="28" spans="1:25" ht="15" customHeight="1" x14ac:dyDescent="0.2">
      <c r="A28" s="20">
        <v>23</v>
      </c>
      <c r="B28" s="19">
        <f t="shared" si="0"/>
        <v>20.050922978994272</v>
      </c>
      <c r="C28" s="20">
        <v>63</v>
      </c>
      <c r="D28" s="218"/>
      <c r="E28" s="20">
        <v>23</v>
      </c>
      <c r="F28" s="20">
        <v>0.61</v>
      </c>
      <c r="G28" s="221"/>
      <c r="H28" s="36" t="s">
        <v>29</v>
      </c>
      <c r="I28" s="19">
        <v>2.5</v>
      </c>
      <c r="J28" s="20">
        <v>0.06</v>
      </c>
      <c r="K28" s="35"/>
      <c r="L28" s="37"/>
      <c r="M28" s="224"/>
      <c r="N28" s="26"/>
      <c r="O28" s="26"/>
      <c r="P28" s="26"/>
      <c r="Q28" s="26"/>
    </row>
    <row r="29" spans="1:25" ht="15" customHeight="1" x14ac:dyDescent="0.2">
      <c r="A29" s="20">
        <v>24</v>
      </c>
      <c r="B29" s="19">
        <f t="shared" si="0"/>
        <v>20.369191597708468</v>
      </c>
      <c r="C29" s="20">
        <v>64</v>
      </c>
      <c r="D29" s="218"/>
      <c r="E29" s="20">
        <v>24</v>
      </c>
      <c r="F29" s="20">
        <v>0.56000000000000005</v>
      </c>
      <c r="G29" s="221"/>
      <c r="H29" s="36" t="s">
        <v>30</v>
      </c>
      <c r="I29" s="19">
        <v>2.6</v>
      </c>
      <c r="J29" s="20">
        <v>7.0000000000000007E-2</v>
      </c>
      <c r="K29" s="35"/>
      <c r="L29" s="37"/>
      <c r="M29" s="224"/>
      <c r="N29" s="26"/>
      <c r="O29" s="26"/>
      <c r="P29" s="26"/>
      <c r="Q29" s="26"/>
    </row>
    <row r="30" spans="1:25" ht="15" customHeight="1" x14ac:dyDescent="0.2">
      <c r="A30" s="20">
        <v>25</v>
      </c>
      <c r="B30" s="19">
        <f t="shared" si="0"/>
        <v>20.687460216422661</v>
      </c>
      <c r="C30" s="20">
        <v>65</v>
      </c>
      <c r="D30" s="218"/>
      <c r="E30" s="20">
        <v>25</v>
      </c>
      <c r="F30" s="20">
        <v>0.51</v>
      </c>
      <c r="G30" s="221"/>
      <c r="H30" s="36" t="s">
        <v>31</v>
      </c>
      <c r="I30" s="19">
        <v>2.7</v>
      </c>
      <c r="J30" s="20">
        <v>7.0000000000000007E-2</v>
      </c>
      <c r="K30" s="35"/>
      <c r="L30" s="37"/>
      <c r="M30" s="224"/>
      <c r="N30" s="26"/>
      <c r="O30" s="26"/>
      <c r="P30" s="26"/>
      <c r="Q30" s="26"/>
    </row>
    <row r="31" spans="1:25" ht="15" customHeight="1" x14ac:dyDescent="0.2">
      <c r="A31" s="20">
        <v>26</v>
      </c>
      <c r="B31" s="19">
        <f t="shared" si="0"/>
        <v>21.005728835136857</v>
      </c>
      <c r="C31" s="20">
        <v>66</v>
      </c>
      <c r="D31" s="218"/>
      <c r="E31" s="20">
        <v>26</v>
      </c>
      <c r="F31" s="20">
        <v>0.46</v>
      </c>
      <c r="G31" s="221"/>
      <c r="H31" s="36" t="s">
        <v>32</v>
      </c>
      <c r="I31" s="19">
        <v>2.8</v>
      </c>
      <c r="J31" s="20">
        <v>0.08</v>
      </c>
      <c r="K31" s="35"/>
      <c r="L31" s="37"/>
      <c r="M31" s="224"/>
      <c r="N31" s="26"/>
      <c r="O31" s="26"/>
      <c r="P31" s="26"/>
      <c r="Q31" s="26"/>
    </row>
    <row r="32" spans="1:25" ht="15" customHeight="1" x14ac:dyDescent="0.2">
      <c r="A32" s="20">
        <v>27</v>
      </c>
      <c r="B32" s="19">
        <f t="shared" si="0"/>
        <v>21.323997453851049</v>
      </c>
      <c r="C32" s="20">
        <v>67</v>
      </c>
      <c r="D32" s="218"/>
      <c r="E32" s="20">
        <v>27</v>
      </c>
      <c r="F32" s="20">
        <v>0.42</v>
      </c>
      <c r="G32" s="221"/>
      <c r="H32" s="36" t="s">
        <v>33</v>
      </c>
      <c r="I32" s="19">
        <v>2.9</v>
      </c>
      <c r="J32" s="20">
        <v>0.09</v>
      </c>
      <c r="K32" s="35"/>
      <c r="L32" s="37"/>
      <c r="M32" s="224"/>
      <c r="N32" s="26"/>
      <c r="O32" s="26"/>
      <c r="P32" s="26"/>
      <c r="Q32" s="26"/>
    </row>
    <row r="33" spans="1:17" ht="15" customHeight="1" x14ac:dyDescent="0.2">
      <c r="A33" s="20">
        <v>28</v>
      </c>
      <c r="B33" s="19">
        <f t="shared" si="0"/>
        <v>21.642266072565246</v>
      </c>
      <c r="C33" s="20">
        <v>68</v>
      </c>
      <c r="D33" s="218"/>
      <c r="E33" s="20">
        <v>28</v>
      </c>
      <c r="F33" s="20">
        <v>0.38</v>
      </c>
      <c r="G33" s="221"/>
      <c r="H33" s="36" t="s">
        <v>34</v>
      </c>
      <c r="I33" s="19">
        <v>3</v>
      </c>
      <c r="J33" s="19">
        <v>0.1</v>
      </c>
      <c r="K33" s="35"/>
      <c r="L33" s="37"/>
      <c r="M33" s="224"/>
      <c r="N33" s="26"/>
      <c r="O33" s="26"/>
      <c r="P33" s="26"/>
      <c r="Q33" s="26"/>
    </row>
    <row r="34" spans="1:17" ht="15" customHeight="1" x14ac:dyDescent="0.2">
      <c r="A34" s="20">
        <v>29</v>
      </c>
      <c r="B34" s="19">
        <f t="shared" si="0"/>
        <v>21.960534691279442</v>
      </c>
      <c r="C34" s="20">
        <v>69</v>
      </c>
      <c r="D34" s="218"/>
      <c r="E34" s="20">
        <v>29</v>
      </c>
      <c r="F34" s="20">
        <v>0.35</v>
      </c>
      <c r="G34" s="221"/>
      <c r="H34" s="36" t="s">
        <v>35</v>
      </c>
      <c r="I34" s="19">
        <v>3.1</v>
      </c>
      <c r="J34" s="20">
        <v>0.11</v>
      </c>
      <c r="K34" s="35"/>
      <c r="L34" s="37"/>
      <c r="M34" s="224"/>
      <c r="N34" s="26"/>
      <c r="O34" s="26"/>
      <c r="P34" s="26"/>
      <c r="Q34" s="26"/>
    </row>
    <row r="35" spans="1:17" ht="15" customHeight="1" x14ac:dyDescent="0.2">
      <c r="A35" s="20">
        <v>30</v>
      </c>
      <c r="B35" s="19">
        <f t="shared" si="0"/>
        <v>22.278803309993634</v>
      </c>
      <c r="C35" s="20">
        <v>70</v>
      </c>
      <c r="D35" s="218"/>
      <c r="E35" s="20">
        <v>30</v>
      </c>
      <c r="F35" s="20">
        <v>0.32</v>
      </c>
      <c r="G35" s="221"/>
      <c r="H35" s="36" t="s">
        <v>36</v>
      </c>
      <c r="I35" s="19">
        <v>3.2</v>
      </c>
      <c r="J35" s="20">
        <v>0.12</v>
      </c>
      <c r="K35" s="35"/>
      <c r="L35" s="37"/>
      <c r="M35" s="224"/>
      <c r="N35" s="26"/>
      <c r="O35" s="26"/>
      <c r="P35" s="26"/>
      <c r="Q35" s="26"/>
    </row>
    <row r="36" spans="1:17" ht="15" customHeight="1" x14ac:dyDescent="0.2">
      <c r="A36" s="20">
        <v>31</v>
      </c>
      <c r="B36" s="19">
        <f t="shared" si="0"/>
        <v>22.59707192870783</v>
      </c>
      <c r="C36" s="20">
        <v>71</v>
      </c>
      <c r="D36" s="218"/>
      <c r="E36" s="20">
        <v>31</v>
      </c>
      <c r="F36" s="19">
        <v>0.3</v>
      </c>
      <c r="G36" s="221"/>
      <c r="H36" s="36" t="s">
        <v>37</v>
      </c>
      <c r="I36" s="19">
        <v>3.3</v>
      </c>
      <c r="J36" s="20">
        <v>0.14000000000000001</v>
      </c>
      <c r="K36" s="35"/>
      <c r="L36" s="37"/>
      <c r="M36" s="224"/>
      <c r="N36" s="26"/>
      <c r="O36" s="26"/>
      <c r="P36" s="26"/>
      <c r="Q36" s="26"/>
    </row>
    <row r="37" spans="1:17" ht="15" customHeight="1" x14ac:dyDescent="0.2">
      <c r="A37" s="20">
        <v>32</v>
      </c>
      <c r="B37" s="19">
        <f t="shared" si="0"/>
        <v>22.915340547422026</v>
      </c>
      <c r="C37" s="20">
        <v>72</v>
      </c>
      <c r="D37" s="218"/>
      <c r="E37" s="20">
        <v>32</v>
      </c>
      <c r="F37" s="20">
        <v>0.27</v>
      </c>
      <c r="G37" s="221"/>
      <c r="H37" s="36" t="s">
        <v>38</v>
      </c>
      <c r="I37" s="19">
        <v>3.4</v>
      </c>
      <c r="J37" s="20">
        <v>0.15</v>
      </c>
      <c r="K37" s="35"/>
      <c r="L37" s="37"/>
      <c r="M37" s="224"/>
      <c r="N37" s="26"/>
      <c r="O37" s="26"/>
      <c r="P37" s="26"/>
      <c r="Q37" s="26"/>
    </row>
    <row r="38" spans="1:17" ht="15" customHeight="1" x14ac:dyDescent="0.2">
      <c r="A38" s="20">
        <v>33</v>
      </c>
      <c r="B38" s="19">
        <f t="shared" si="0"/>
        <v>23.233609166136219</v>
      </c>
      <c r="C38" s="20">
        <v>73</v>
      </c>
      <c r="D38" s="218"/>
      <c r="E38" s="20">
        <v>33</v>
      </c>
      <c r="F38" s="20">
        <v>0.25</v>
      </c>
      <c r="G38" s="221"/>
      <c r="H38" s="36" t="s">
        <v>39</v>
      </c>
      <c r="I38" s="19">
        <v>3.5</v>
      </c>
      <c r="J38" s="20">
        <v>0.16</v>
      </c>
      <c r="K38" s="35"/>
      <c r="L38" s="37"/>
      <c r="M38" s="224"/>
      <c r="N38" s="26"/>
      <c r="O38" s="26"/>
      <c r="P38" s="26"/>
      <c r="Q38" s="26"/>
    </row>
    <row r="39" spans="1:17" ht="15" customHeight="1" x14ac:dyDescent="0.2">
      <c r="A39" s="20">
        <v>34</v>
      </c>
      <c r="B39" s="19">
        <f t="shared" si="0"/>
        <v>23.551877784850415</v>
      </c>
      <c r="C39" s="20">
        <v>74</v>
      </c>
      <c r="D39" s="218"/>
      <c r="E39" s="20">
        <v>34</v>
      </c>
      <c r="F39" s="20">
        <v>0.23</v>
      </c>
      <c r="G39" s="221"/>
      <c r="H39" s="36" t="s">
        <v>40</v>
      </c>
      <c r="I39" s="19">
        <v>3.6</v>
      </c>
      <c r="J39" s="20">
        <v>0.17</v>
      </c>
      <c r="K39" s="35"/>
      <c r="L39" s="37"/>
      <c r="M39" s="224"/>
      <c r="N39" s="26"/>
      <c r="O39" s="26"/>
      <c r="P39" s="26"/>
      <c r="Q39" s="26"/>
    </row>
    <row r="40" spans="1:17" ht="15" customHeight="1" x14ac:dyDescent="0.2">
      <c r="A40" s="20">
        <v>35</v>
      </c>
      <c r="B40" s="19">
        <f t="shared" si="0"/>
        <v>23.870146403564608</v>
      </c>
      <c r="C40" s="20">
        <v>75</v>
      </c>
      <c r="D40" s="218"/>
      <c r="E40" s="20">
        <v>35</v>
      </c>
      <c r="F40" s="20">
        <v>0.21</v>
      </c>
      <c r="G40" s="221"/>
      <c r="H40" s="36" t="s">
        <v>41</v>
      </c>
      <c r="I40" s="19">
        <v>3.7</v>
      </c>
      <c r="J40" s="20">
        <v>0.18</v>
      </c>
      <c r="K40" s="35"/>
      <c r="L40" s="37"/>
      <c r="M40" s="224"/>
      <c r="N40" s="26"/>
      <c r="O40" s="26"/>
      <c r="P40" s="26"/>
      <c r="Q40" s="26"/>
    </row>
    <row r="41" spans="1:17" ht="15.75" customHeight="1" x14ac:dyDescent="0.2">
      <c r="A41" s="20">
        <v>36</v>
      </c>
      <c r="B41" s="19">
        <f t="shared" si="0"/>
        <v>24.188415022278804</v>
      </c>
      <c r="C41" s="20">
        <v>76</v>
      </c>
      <c r="D41" s="218"/>
      <c r="E41" s="20">
        <v>36</v>
      </c>
      <c r="F41" s="20">
        <v>0.19</v>
      </c>
      <c r="G41" s="221"/>
      <c r="H41" s="36" t="s">
        <v>42</v>
      </c>
      <c r="I41" s="19">
        <v>3.8</v>
      </c>
      <c r="J41" s="19">
        <v>0.2</v>
      </c>
      <c r="K41" s="35"/>
      <c r="L41" s="37"/>
      <c r="M41" s="224"/>
      <c r="N41" s="26"/>
      <c r="O41" s="26"/>
      <c r="P41" s="26"/>
      <c r="Q41" s="26"/>
    </row>
    <row r="42" spans="1:17" s="4" customFormat="1" ht="19.899999999999999" customHeight="1" x14ac:dyDescent="0.25">
      <c r="A42" s="31"/>
      <c r="B42" s="31"/>
      <c r="C42" s="31"/>
      <c r="D42" s="219"/>
      <c r="E42" s="31"/>
      <c r="F42" s="31"/>
      <c r="G42" s="222"/>
      <c r="H42" s="214"/>
      <c r="I42" s="215"/>
      <c r="J42" s="216"/>
      <c r="K42" s="30"/>
      <c r="L42" s="38"/>
      <c r="M42" s="224"/>
      <c r="N42" s="27"/>
      <c r="O42" s="27"/>
      <c r="P42" s="27"/>
      <c r="Q42" s="27"/>
    </row>
  </sheetData>
  <mergeCells count="10">
    <mergeCell ref="N4:P4"/>
    <mergeCell ref="H4:J4"/>
    <mergeCell ref="A1:P3"/>
    <mergeCell ref="N21:Q21"/>
    <mergeCell ref="H42:J42"/>
    <mergeCell ref="A4:C4"/>
    <mergeCell ref="D4:D42"/>
    <mergeCell ref="E4:F4"/>
    <mergeCell ref="G4:G42"/>
    <mergeCell ref="M4:M42"/>
  </mergeCells>
  <printOptions horizontalCentered="1" verticalCentered="1"/>
  <pageMargins left="0.25" right="0.25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M88"/>
  <sheetViews>
    <sheetView tabSelected="1" showRuler="0" zoomScaleNormal="100" workbookViewId="0">
      <pane ySplit="4" topLeftCell="A5" activePane="bottomLeft" state="frozen"/>
      <selection pane="bottomLeft" activeCell="E9" sqref="E9"/>
    </sheetView>
  </sheetViews>
  <sheetFormatPr defaultRowHeight="16.5" x14ac:dyDescent="0.3"/>
  <cols>
    <col min="1" max="3" width="9.140625" style="152"/>
    <col min="4" max="5" width="17.140625" style="152" customWidth="1"/>
    <col min="6" max="6" width="12.28515625" style="152" customWidth="1"/>
    <col min="7" max="8" width="11.7109375" style="152" customWidth="1"/>
    <col min="9" max="16384" width="9.140625" style="152"/>
  </cols>
  <sheetData>
    <row r="1" spans="2:13" ht="16.899999999999999" customHeight="1" thickBot="1" x14ac:dyDescent="0.35"/>
    <row r="2" spans="2:13" ht="20.100000000000001" customHeight="1" x14ac:dyDescent="0.3">
      <c r="D2" s="225" t="s">
        <v>51</v>
      </c>
      <c r="E2" s="226"/>
      <c r="F2" s="170" t="s">
        <v>84</v>
      </c>
      <c r="G2" s="229"/>
      <c r="H2" s="230"/>
    </row>
    <row r="3" spans="2:13" ht="20.100000000000001" customHeight="1" thickBot="1" x14ac:dyDescent="0.35">
      <c r="D3" s="227"/>
      <c r="E3" s="228"/>
      <c r="F3" s="171" t="s">
        <v>85</v>
      </c>
      <c r="G3" s="234"/>
      <c r="H3" s="235"/>
    </row>
    <row r="4" spans="2:13" ht="16.899999999999999" customHeight="1" thickBot="1" x14ac:dyDescent="0.35">
      <c r="D4" s="162" t="s">
        <v>43</v>
      </c>
      <c r="E4" s="163" t="s">
        <v>1</v>
      </c>
      <c r="F4" s="162" t="s">
        <v>88</v>
      </c>
      <c r="G4" s="162" t="s">
        <v>86</v>
      </c>
      <c r="H4" s="164" t="s">
        <v>87</v>
      </c>
    </row>
    <row r="5" spans="2:13" ht="15" customHeight="1" thickBot="1" x14ac:dyDescent="0.35">
      <c r="B5" s="153"/>
      <c r="D5" s="154" t="str">
        <f>IF(E5="","",IFERROR(INDEX(SizeTable[],MATCH(ROUND(VALUE(E5),2),INDEX(SizeTable[],0,1),0),2),INDEX(SizeTable[],MATCH(TRIM(E5&amp;""),INDEX(SizeTable[],0,1),0),2)))</f>
        <v/>
      </c>
      <c r="E5" s="165"/>
      <c r="F5" s="161" t="str">
        <f>IF(E5="","",IFERROR(INDEX(SizeTable[],MATCH(ROUND(VALUE(E5),2),INDEX(SizeTable[],0,1),0),3),INDEX(SizeTable[],MATCH(TRIM(E5&amp;""),INDEX(SizeTable[],0,1),0),3)))</f>
        <v/>
      </c>
      <c r="G5" s="168"/>
      <c r="H5" s="155" t="str">
        <f>IF(G5="","",F5*G5)</f>
        <v/>
      </c>
    </row>
    <row r="6" spans="2:13" ht="16.899999999999999" hidden="1" customHeight="1" x14ac:dyDescent="0.3">
      <c r="B6" s="153"/>
      <c r="D6" s="154" t="str">
        <f>IF(E6="","",IFERROR(INDEX(SizeTable[],MATCH(ROUND(VALUE(E6),2),INDEX(SizeTable[],0,1),0),2),INDEX(SizeTable[],MATCH(TRIM(E6&amp;""),INDEX(SizeTable[],0,1),0),2)))</f>
        <v/>
      </c>
      <c r="E6" s="166"/>
      <c r="F6" s="161" t="str">
        <f>IF(E6="","",IFERROR(INDEX(SizeTable[],MATCH(ROUND(VALUE(E6),2),INDEX(SizeTable[],0,1),0),3),INDEX(SizeTable[],MATCH(TRIM(E6&amp;""),INDEX(SizeTable[],0,1),0),3)))</f>
        <v/>
      </c>
      <c r="G6" s="168"/>
      <c r="H6" s="155" t="str">
        <f t="shared" ref="H6:H69" si="0">IF(G6="","",F6*G6)</f>
        <v/>
      </c>
    </row>
    <row r="7" spans="2:13" ht="16.899999999999999" hidden="1" customHeight="1" x14ac:dyDescent="0.3">
      <c r="B7" s="153"/>
      <c r="D7" s="154" t="str">
        <f>IF(E7="","",IFERROR(INDEX(SizeTable[],MATCH(ROUND(VALUE(E7),2),INDEX(SizeTable[],0,1),0),2),INDEX(SizeTable[],MATCH(TRIM(E7&amp;""),INDEX(SizeTable[],0,1),0),2)))</f>
        <v/>
      </c>
      <c r="E7" s="167"/>
      <c r="F7" s="161" t="str">
        <f>IF(E7="","",IFERROR(INDEX(SizeTable[],MATCH(ROUND(VALUE(E7),2),INDEX(SizeTable[],0,1),0),3),INDEX(SizeTable[],MATCH(TRIM(E7&amp;""),INDEX(SizeTable[],0,1),0),3)))</f>
        <v/>
      </c>
      <c r="G7" s="168"/>
      <c r="H7" s="155" t="str">
        <f t="shared" si="0"/>
        <v/>
      </c>
    </row>
    <row r="8" spans="2:13" ht="16.899999999999999" hidden="1" customHeight="1" x14ac:dyDescent="0.35">
      <c r="B8" s="153"/>
      <c r="D8" s="154" t="str">
        <f>IF(E8="","",IFERROR(INDEX(SizeTable[],MATCH(ROUND(VALUE(E8),2),INDEX(SizeTable[],0,1),0),2),INDEX(SizeTable[],MATCH(TRIM(E8&amp;""),INDEX(SizeTable[],0,1),0),2)))</f>
        <v/>
      </c>
      <c r="E8" s="167"/>
      <c r="F8" s="161" t="str">
        <f>IF(E8="","",IFERROR(INDEX(SizeTable[],MATCH(ROUND(VALUE(E8),2),INDEX(SizeTable[],0,1),0),3),INDEX(SizeTable[],MATCH(TRIM(E8&amp;""),INDEX(SizeTable[],0,1),0),3)))</f>
        <v/>
      </c>
      <c r="G8" s="168"/>
      <c r="H8" s="155" t="str">
        <f t="shared" si="0"/>
        <v/>
      </c>
      <c r="M8" s="156"/>
    </row>
    <row r="9" spans="2:13" ht="16.899999999999999" hidden="1" customHeight="1" x14ac:dyDescent="0.3">
      <c r="B9" s="153"/>
      <c r="D9" s="154" t="str">
        <f>IF(E9="","",IFERROR(INDEX(SizeTable[],MATCH(ROUND(VALUE(E9),2),INDEX(SizeTable[],0,1),0),2),INDEX(SizeTable[],MATCH(TRIM(E9&amp;""),INDEX(SizeTable[],0,1),0),2)))</f>
        <v/>
      </c>
      <c r="E9" s="167"/>
      <c r="F9" s="161" t="str">
        <f>IF(E9="","",IFERROR(INDEX(SizeTable[],MATCH(ROUND(VALUE(E9),2),INDEX(SizeTable[],0,1),0),3),INDEX(SizeTable[],MATCH(TRIM(E9&amp;""),INDEX(SizeTable[],0,1),0),3)))</f>
        <v/>
      </c>
      <c r="G9" s="168"/>
      <c r="H9" s="155" t="str">
        <f t="shared" si="0"/>
        <v/>
      </c>
    </row>
    <row r="10" spans="2:13" ht="16.899999999999999" hidden="1" customHeight="1" x14ac:dyDescent="0.3">
      <c r="B10" s="153"/>
      <c r="D10" s="154" t="str">
        <f>IF(E10="","",IFERROR(INDEX(SizeTable[],MATCH(ROUND(VALUE(E10),2),INDEX(SizeTable[],0,1),0),2),INDEX(SizeTable[],MATCH(TRIM(E10&amp;""),INDEX(SizeTable[],0,1),0),2)))</f>
        <v/>
      </c>
      <c r="E10" s="167"/>
      <c r="F10" s="161" t="str">
        <f>IF(E10="","",IFERROR(INDEX(SizeTable[],MATCH(ROUND(VALUE(E10),2),INDEX(SizeTable[],0,1),0),3),INDEX(SizeTable[],MATCH(TRIM(E10&amp;""),INDEX(SizeTable[],0,1),0),3)))</f>
        <v/>
      </c>
      <c r="G10" s="168"/>
      <c r="H10" s="155" t="str">
        <f t="shared" si="0"/>
        <v/>
      </c>
    </row>
    <row r="11" spans="2:13" ht="16.899999999999999" hidden="1" customHeight="1" x14ac:dyDescent="0.3">
      <c r="B11" s="153"/>
      <c r="D11" s="154" t="str">
        <f>IF(E11="","",IFERROR(INDEX(SizeTable[],MATCH(ROUND(VALUE(E11),2),INDEX(SizeTable[],0,1),0),2),INDEX(SizeTable[],MATCH(TRIM(E11&amp;""),INDEX(SizeTable[],0,1),0),2)))</f>
        <v/>
      </c>
      <c r="E11" s="167"/>
      <c r="F11" s="161" t="str">
        <f>IF(E11="","",IFERROR(INDEX(SizeTable[],MATCH(ROUND(VALUE(E11),2),INDEX(SizeTable[],0,1),0),3),INDEX(SizeTable[],MATCH(TRIM(E11&amp;""),INDEX(SizeTable[],0,1),0),3)))</f>
        <v/>
      </c>
      <c r="G11" s="168"/>
      <c r="H11" s="155" t="str">
        <f t="shared" si="0"/>
        <v/>
      </c>
    </row>
    <row r="12" spans="2:13" ht="16.899999999999999" hidden="1" customHeight="1" x14ac:dyDescent="0.3">
      <c r="B12" s="153"/>
      <c r="D12" s="154" t="str">
        <f>IF(E12="","",IFERROR(INDEX(SizeTable[],MATCH(ROUND(VALUE(E12),2),INDEX(SizeTable[],0,1),0),2),INDEX(SizeTable[],MATCH(TRIM(E12&amp;""),INDEX(SizeTable[],0,1),0),2)))</f>
        <v/>
      </c>
      <c r="E12" s="167"/>
      <c r="F12" s="161" t="str">
        <f>IF(E12="","",IFERROR(INDEX(SizeTable[],MATCH(ROUND(VALUE(E12),2),INDEX(SizeTable[],0,1),0),3),INDEX(SizeTable[],MATCH(TRIM(E12&amp;""),INDEX(SizeTable[],0,1),0),3)))</f>
        <v/>
      </c>
      <c r="G12" s="168"/>
      <c r="H12" s="155" t="str">
        <f t="shared" si="0"/>
        <v/>
      </c>
    </row>
    <row r="13" spans="2:13" ht="16.899999999999999" hidden="1" customHeight="1" x14ac:dyDescent="0.3">
      <c r="B13" s="153"/>
      <c r="D13" s="154" t="str">
        <f>IF(E13="","",IFERROR(INDEX(SizeTable[],MATCH(ROUND(VALUE(E13),2),INDEX(SizeTable[],0,1),0),2),INDEX(SizeTable[],MATCH(TRIM(E13&amp;""),INDEX(SizeTable[],0,1),0),2)))</f>
        <v/>
      </c>
      <c r="E13" s="167"/>
      <c r="F13" s="161" t="str">
        <f>IF(E13="","",IFERROR(INDEX(SizeTable[],MATCH(ROUND(VALUE(E13),2),INDEX(SizeTable[],0,1),0),3),INDEX(SizeTable[],MATCH(TRIM(E13&amp;""),INDEX(SizeTable[],0,1),0),3)))</f>
        <v/>
      </c>
      <c r="G13" s="168"/>
      <c r="H13" s="155" t="str">
        <f t="shared" si="0"/>
        <v/>
      </c>
    </row>
    <row r="14" spans="2:13" ht="16.899999999999999" hidden="1" customHeight="1" x14ac:dyDescent="0.3">
      <c r="B14" s="153"/>
      <c r="D14" s="154" t="str">
        <f>IF(E14="","",IFERROR(INDEX(SizeTable[],MATCH(ROUND(VALUE(E14),2),INDEX(SizeTable[],0,1),0),2),INDEX(SizeTable[],MATCH(TRIM(E14&amp;""),INDEX(SizeTable[],0,1),0),2)))</f>
        <v/>
      </c>
      <c r="E14" s="167"/>
      <c r="F14" s="161" t="str">
        <f>IF(E14="","",IFERROR(INDEX(SizeTable[],MATCH(ROUND(VALUE(E14),2),INDEX(SizeTable[],0,1),0),3),INDEX(SizeTable[],MATCH(TRIM(E14&amp;""),INDEX(SizeTable[],0,1),0),3)))</f>
        <v/>
      </c>
      <c r="G14" s="168"/>
      <c r="H14" s="155" t="str">
        <f t="shared" si="0"/>
        <v/>
      </c>
    </row>
    <row r="15" spans="2:13" ht="16.899999999999999" hidden="1" customHeight="1" x14ac:dyDescent="0.3">
      <c r="B15" s="153"/>
      <c r="D15" s="154" t="str">
        <f>IF(E15="","",IFERROR(INDEX(SizeTable[],MATCH(ROUND(VALUE(E15),2),INDEX(SizeTable[],0,1),0),2),INDEX(SizeTable[],MATCH(TRIM(E15&amp;""),INDEX(SizeTable[],0,1),0),2)))</f>
        <v/>
      </c>
      <c r="E15" s="167"/>
      <c r="F15" s="161" t="str">
        <f>IF(E15="","",IFERROR(INDEX(SizeTable[],MATCH(ROUND(VALUE(E15),2),INDEX(SizeTable[],0,1),0),3),INDEX(SizeTable[],MATCH(TRIM(E15&amp;""),INDEX(SizeTable[],0,1),0),3)))</f>
        <v/>
      </c>
      <c r="G15" s="168"/>
      <c r="H15" s="155" t="str">
        <f t="shared" si="0"/>
        <v/>
      </c>
    </row>
    <row r="16" spans="2:13" ht="16.899999999999999" hidden="1" customHeight="1" x14ac:dyDescent="0.3">
      <c r="B16" s="153"/>
      <c r="D16" s="154" t="str">
        <f>IF(E16="","",IFERROR(INDEX(SizeTable[],MATCH(ROUND(VALUE(E16),2),INDEX(SizeTable[],0,1),0),2),INDEX(SizeTable[],MATCH(TRIM(E16&amp;""),INDEX(SizeTable[],0,1),0),2)))</f>
        <v/>
      </c>
      <c r="E16" s="167"/>
      <c r="F16" s="161" t="str">
        <f>IF(E16="","",IFERROR(INDEX(SizeTable[],MATCH(ROUND(VALUE(E16),2),INDEX(SizeTable[],0,1),0),3),INDEX(SizeTable[],MATCH(TRIM(E16&amp;""),INDEX(SizeTable[],0,1),0),3)))</f>
        <v/>
      </c>
      <c r="G16" s="168"/>
      <c r="H16" s="155" t="str">
        <f t="shared" si="0"/>
        <v/>
      </c>
    </row>
    <row r="17" spans="2:8" ht="16.899999999999999" hidden="1" customHeight="1" x14ac:dyDescent="0.3">
      <c r="B17" s="153"/>
      <c r="D17" s="154" t="str">
        <f>IF(E17="","",IFERROR(INDEX(SizeTable[],MATCH(ROUND(VALUE(E17),2),INDEX(SizeTable[],0,1),0),2),INDEX(SizeTable[],MATCH(TRIM(E17&amp;""),INDEX(SizeTable[],0,1),0),2)))</f>
        <v/>
      </c>
      <c r="E17" s="167"/>
      <c r="F17" s="161" t="str">
        <f>IF(E17="","",IFERROR(INDEX(SizeTable[],MATCH(ROUND(VALUE(E17),2),INDEX(SizeTable[],0,1),0),3),INDEX(SizeTable[],MATCH(TRIM(E17&amp;""),INDEX(SizeTable[],0,1),0),3)))</f>
        <v/>
      </c>
      <c r="G17" s="168"/>
      <c r="H17" s="155" t="str">
        <f t="shared" si="0"/>
        <v/>
      </c>
    </row>
    <row r="18" spans="2:8" ht="16.899999999999999" hidden="1" customHeight="1" x14ac:dyDescent="0.3">
      <c r="B18" s="153"/>
      <c r="D18" s="154" t="str">
        <f>IF(E18="","",IFERROR(INDEX(SizeTable[],MATCH(ROUND(VALUE(E18),2),INDEX(SizeTable[],0,1),0),2),INDEX(SizeTable[],MATCH(TRIM(E18&amp;""),INDEX(SizeTable[],0,1),0),2)))</f>
        <v/>
      </c>
      <c r="E18" s="167"/>
      <c r="F18" s="161" t="str">
        <f>IF(E18="","",IFERROR(INDEX(SizeTable[],MATCH(ROUND(VALUE(E18),2),INDEX(SizeTable[],0,1),0),3),INDEX(SizeTable[],MATCH(TRIM(E18&amp;""),INDEX(SizeTable[],0,1),0),3)))</f>
        <v/>
      </c>
      <c r="G18" s="168"/>
      <c r="H18" s="155" t="str">
        <f t="shared" si="0"/>
        <v/>
      </c>
    </row>
    <row r="19" spans="2:8" ht="16.899999999999999" hidden="1" customHeight="1" x14ac:dyDescent="0.3">
      <c r="B19" s="153"/>
      <c r="D19" s="154" t="str">
        <f>IF(E19="","",IFERROR(INDEX(SizeTable[],MATCH(ROUND(VALUE(E19),2),INDEX(SizeTable[],0,1),0),2),INDEX(SizeTable[],MATCH(TRIM(E19&amp;""),INDEX(SizeTable[],0,1),0),2)))</f>
        <v/>
      </c>
      <c r="E19" s="167"/>
      <c r="F19" s="161" t="str">
        <f>IF(E19="","",IFERROR(INDEX(SizeTable[],MATCH(ROUND(VALUE(E19),2),INDEX(SizeTable[],0,1),0),3),INDEX(SizeTable[],MATCH(TRIM(E19&amp;""),INDEX(SizeTable[],0,1),0),3)))</f>
        <v/>
      </c>
      <c r="G19" s="168"/>
      <c r="H19" s="155" t="str">
        <f t="shared" si="0"/>
        <v/>
      </c>
    </row>
    <row r="20" spans="2:8" ht="16.899999999999999" hidden="1" customHeight="1" x14ac:dyDescent="0.3">
      <c r="B20" s="153"/>
      <c r="D20" s="154" t="str">
        <f>IF(E20="","",IFERROR(INDEX(SizeTable[],MATCH(ROUND(VALUE(E20),2),INDEX(SizeTable[],0,1),0),2),INDEX(SizeTable[],MATCH(TRIM(E20&amp;""),INDEX(SizeTable[],0,1),0),2)))</f>
        <v/>
      </c>
      <c r="E20" s="167"/>
      <c r="F20" s="161" t="str">
        <f>IF(E20="","",IFERROR(INDEX(SizeTable[],MATCH(ROUND(VALUE(E20),2),INDEX(SizeTable[],0,1),0),3),INDEX(SizeTable[],MATCH(TRIM(E20&amp;""),INDEX(SizeTable[],0,1),0),3)))</f>
        <v/>
      </c>
      <c r="G20" s="168"/>
      <c r="H20" s="155" t="str">
        <f t="shared" si="0"/>
        <v/>
      </c>
    </row>
    <row r="21" spans="2:8" ht="16.899999999999999" hidden="1" customHeight="1" x14ac:dyDescent="0.3">
      <c r="B21" s="153"/>
      <c r="D21" s="154" t="str">
        <f>IF(E21="","",IFERROR(INDEX(SizeTable[],MATCH(ROUND(VALUE(E21),2),INDEX(SizeTable[],0,1),0),2),INDEX(SizeTable[],MATCH(TRIM(E21&amp;""),INDEX(SizeTable[],0,1),0),2)))</f>
        <v/>
      </c>
      <c r="E21" s="167"/>
      <c r="F21" s="161" t="str">
        <f>IF(E21="","",IFERROR(INDEX(SizeTable[],MATCH(ROUND(VALUE(E21),2),INDEX(SizeTable[],0,1),0),3),INDEX(SizeTable[],MATCH(TRIM(E21&amp;""),INDEX(SizeTable[],0,1),0),3)))</f>
        <v/>
      </c>
      <c r="G21" s="168"/>
      <c r="H21" s="155" t="str">
        <f t="shared" si="0"/>
        <v/>
      </c>
    </row>
    <row r="22" spans="2:8" ht="16.899999999999999" hidden="1" customHeight="1" x14ac:dyDescent="0.3">
      <c r="B22" s="153"/>
      <c r="D22" s="154" t="str">
        <f>IF(E22="","",IFERROR(INDEX(SizeTable[],MATCH(ROUND(VALUE(E22),2),INDEX(SizeTable[],0,1),0),2),INDEX(SizeTable[],MATCH(TRIM(E22&amp;""),INDEX(SizeTable[],0,1),0),2)))</f>
        <v/>
      </c>
      <c r="E22" s="167"/>
      <c r="F22" s="161" t="str">
        <f>IF(E22="","",IFERROR(INDEX(SizeTable[],MATCH(ROUND(VALUE(E22),2),INDEX(SizeTable[],0,1),0),3),INDEX(SizeTable[],MATCH(TRIM(E22&amp;""),INDEX(SizeTable[],0,1),0),3)))</f>
        <v/>
      </c>
      <c r="G22" s="168"/>
      <c r="H22" s="155" t="str">
        <f t="shared" si="0"/>
        <v/>
      </c>
    </row>
    <row r="23" spans="2:8" ht="16.899999999999999" hidden="1" customHeight="1" x14ac:dyDescent="0.3">
      <c r="B23" s="153"/>
      <c r="D23" s="154" t="str">
        <f>IF(E23="","",IFERROR(INDEX(SizeTable[],MATCH(ROUND(VALUE(E23),2),INDEX(SizeTable[],0,1),0),2),INDEX(SizeTable[],MATCH(TRIM(E23&amp;""),INDEX(SizeTable[],0,1),0),2)))</f>
        <v/>
      </c>
      <c r="E23" s="167"/>
      <c r="F23" s="161" t="str">
        <f>IF(E23="","",IFERROR(INDEX(SizeTable[],MATCH(ROUND(VALUE(E23),2),INDEX(SizeTable[],0,1),0),3),INDEX(SizeTable[],MATCH(TRIM(E23&amp;""),INDEX(SizeTable[],0,1),0),3)))</f>
        <v/>
      </c>
      <c r="G23" s="168"/>
      <c r="H23" s="155" t="str">
        <f t="shared" si="0"/>
        <v/>
      </c>
    </row>
    <row r="24" spans="2:8" ht="16.899999999999999" hidden="1" customHeight="1" x14ac:dyDescent="0.3">
      <c r="B24" s="153"/>
      <c r="D24" s="154" t="str">
        <f>IF(E24="","",IFERROR(INDEX(SizeTable[],MATCH(ROUND(VALUE(E24),2),INDEX(SizeTable[],0,1),0),2),INDEX(SizeTable[],MATCH(TRIM(E24&amp;""),INDEX(SizeTable[],0,1),0),2)))</f>
        <v/>
      </c>
      <c r="E24" s="167"/>
      <c r="F24" s="161" t="str">
        <f>IF(E24="","",IFERROR(INDEX(SizeTable[],MATCH(ROUND(VALUE(E24),2),INDEX(SizeTable[],0,1),0),3),INDEX(SizeTable[],MATCH(TRIM(E24&amp;""),INDEX(SizeTable[],0,1),0),3)))</f>
        <v/>
      </c>
      <c r="G24" s="168"/>
      <c r="H24" s="155" t="str">
        <f t="shared" si="0"/>
        <v/>
      </c>
    </row>
    <row r="25" spans="2:8" ht="16.899999999999999" hidden="1" customHeight="1" x14ac:dyDescent="0.3">
      <c r="B25" s="153"/>
      <c r="D25" s="154" t="str">
        <f>IF(E25="","",IFERROR(INDEX(SizeTable[],MATCH(ROUND(VALUE(E25),2),INDEX(SizeTable[],0,1),0),2),INDEX(SizeTable[],MATCH(TRIM(E25&amp;""),INDEX(SizeTable[],0,1),0),2)))</f>
        <v/>
      </c>
      <c r="E25" s="167"/>
      <c r="F25" s="161" t="str">
        <f>IF(E25="","",IFERROR(INDEX(SizeTable[],MATCH(ROUND(VALUE(E25),2),INDEX(SizeTable[],0,1),0),3),INDEX(SizeTable[],MATCH(TRIM(E25&amp;""),INDEX(SizeTable[],0,1),0),3)))</f>
        <v/>
      </c>
      <c r="G25" s="168"/>
      <c r="H25" s="155" t="str">
        <f t="shared" si="0"/>
        <v/>
      </c>
    </row>
    <row r="26" spans="2:8" ht="16.899999999999999" hidden="1" customHeight="1" x14ac:dyDescent="0.3">
      <c r="B26" s="153"/>
      <c r="D26" s="154" t="str">
        <f>IF(E26="","",IFERROR(INDEX(SizeTable[],MATCH(ROUND(VALUE(E26),2),INDEX(SizeTable[],0,1),0),2),INDEX(SizeTable[],MATCH(TRIM(E26&amp;""),INDEX(SizeTable[],0,1),0),2)))</f>
        <v/>
      </c>
      <c r="E26" s="167"/>
      <c r="F26" s="161" t="str">
        <f>IF(E26="","",IFERROR(INDEX(SizeTable[],MATCH(ROUND(VALUE(E26),2),INDEX(SizeTable[],0,1),0),3),INDEX(SizeTable[],MATCH(TRIM(E26&amp;""),INDEX(SizeTable[],0,1),0),3)))</f>
        <v/>
      </c>
      <c r="G26" s="168"/>
      <c r="H26" s="155" t="str">
        <f t="shared" si="0"/>
        <v/>
      </c>
    </row>
    <row r="27" spans="2:8" ht="16.899999999999999" hidden="1" customHeight="1" x14ac:dyDescent="0.3">
      <c r="B27" s="153"/>
      <c r="D27" s="154" t="str">
        <f>IF(E27="","",IFERROR(INDEX(SizeTable[],MATCH(ROUND(VALUE(E27),2),INDEX(SizeTable[],0,1),0),2),INDEX(SizeTable[],MATCH(TRIM(E27&amp;""),INDEX(SizeTable[],0,1),0),2)))</f>
        <v/>
      </c>
      <c r="E27" s="167"/>
      <c r="F27" s="161" t="str">
        <f>IF(E27="","",IFERROR(INDEX(SizeTable[],MATCH(ROUND(VALUE(E27),2),INDEX(SizeTable[],0,1),0),3),INDEX(SizeTable[],MATCH(TRIM(E27&amp;""),INDEX(SizeTable[],0,1),0),3)))</f>
        <v/>
      </c>
      <c r="G27" s="168"/>
      <c r="H27" s="155" t="str">
        <f t="shared" si="0"/>
        <v/>
      </c>
    </row>
    <row r="28" spans="2:8" ht="16.899999999999999" hidden="1" customHeight="1" x14ac:dyDescent="0.3">
      <c r="B28" s="153"/>
      <c r="D28" s="154" t="str">
        <f>IF(E28="","",IFERROR(INDEX(SizeTable[],MATCH(ROUND(VALUE(E28),2),INDEX(SizeTable[],0,1),0),2),INDEX(SizeTable[],MATCH(TRIM(E28&amp;""),INDEX(SizeTable[],0,1),0),2)))</f>
        <v/>
      </c>
      <c r="E28" s="167"/>
      <c r="F28" s="161" t="str">
        <f>IF(E28="","",IFERROR(INDEX(SizeTable[],MATCH(ROUND(VALUE(E28),2),INDEX(SizeTable[],0,1),0),3),INDEX(SizeTable[],MATCH(TRIM(E28&amp;""),INDEX(SizeTable[],0,1),0),3)))</f>
        <v/>
      </c>
      <c r="G28" s="168"/>
      <c r="H28" s="155" t="str">
        <f t="shared" si="0"/>
        <v/>
      </c>
    </row>
    <row r="29" spans="2:8" ht="16.899999999999999" hidden="1" customHeight="1" x14ac:dyDescent="0.3">
      <c r="B29" s="153"/>
      <c r="D29" s="154" t="str">
        <f>IF(E29="","",IFERROR(INDEX(SizeTable[],MATCH(ROUND(VALUE(E29),2),INDEX(SizeTable[],0,1),0),2),INDEX(SizeTable[],MATCH(TRIM(E29&amp;""),INDEX(SizeTable[],0,1),0),2)))</f>
        <v/>
      </c>
      <c r="E29" s="167"/>
      <c r="F29" s="161" t="str">
        <f>IF(E29="","",IFERROR(INDEX(SizeTable[],MATCH(ROUND(VALUE(E29),2),INDEX(SizeTable[],0,1),0),3),INDEX(SizeTable[],MATCH(TRIM(E29&amp;""),INDEX(SizeTable[],0,1),0),3)))</f>
        <v/>
      </c>
      <c r="G29" s="168"/>
      <c r="H29" s="155" t="str">
        <f t="shared" si="0"/>
        <v/>
      </c>
    </row>
    <row r="30" spans="2:8" ht="16.899999999999999" hidden="1" customHeight="1" x14ac:dyDescent="0.3">
      <c r="B30" s="153"/>
      <c r="D30" s="154" t="str">
        <f>IF(E30="","",IFERROR(INDEX(SizeTable[],MATCH(ROUND(VALUE(E30),2),INDEX(SizeTable[],0,1),0),2),INDEX(SizeTable[],MATCH(TRIM(E30&amp;""),INDEX(SizeTable[],0,1),0),2)))</f>
        <v/>
      </c>
      <c r="E30" s="167"/>
      <c r="F30" s="161" t="str">
        <f>IF(E30="","",IFERROR(INDEX(SizeTable[],MATCH(ROUND(VALUE(E30),2),INDEX(SizeTable[],0,1),0),3),INDEX(SizeTable[],MATCH(TRIM(E30&amp;""),INDEX(SizeTable[],0,1),0),3)))</f>
        <v/>
      </c>
      <c r="G30" s="168"/>
      <c r="H30" s="155" t="str">
        <f t="shared" si="0"/>
        <v/>
      </c>
    </row>
    <row r="31" spans="2:8" ht="16.899999999999999" hidden="1" customHeight="1" x14ac:dyDescent="0.3">
      <c r="B31" s="153"/>
      <c r="D31" s="154" t="str">
        <f>IF(E31="","",IFERROR(INDEX(SizeTable[],MATCH(ROUND(VALUE(E31),2),INDEX(SizeTable[],0,1),0),2),INDEX(SizeTable[],MATCH(TRIM(E31&amp;""),INDEX(SizeTable[],0,1),0),2)))</f>
        <v/>
      </c>
      <c r="E31" s="167"/>
      <c r="F31" s="161" t="str">
        <f>IF(E31="","",IFERROR(INDEX(SizeTable[],MATCH(ROUND(VALUE(E31),2),INDEX(SizeTable[],0,1),0),3),INDEX(SizeTable[],MATCH(TRIM(E31&amp;""),INDEX(SizeTable[],0,1),0),3)))</f>
        <v/>
      </c>
      <c r="G31" s="168"/>
      <c r="H31" s="155" t="str">
        <f t="shared" si="0"/>
        <v/>
      </c>
    </row>
    <row r="32" spans="2:8" ht="16.899999999999999" hidden="1" customHeight="1" x14ac:dyDescent="0.3">
      <c r="B32" s="153"/>
      <c r="D32" s="154" t="str">
        <f>IF(E32="","",IFERROR(INDEX(SizeTable[],MATCH(ROUND(VALUE(E32),2),INDEX(SizeTable[],0,1),0),2),INDEX(SizeTable[],MATCH(TRIM(E32&amp;""),INDEX(SizeTable[],0,1),0),2)))</f>
        <v/>
      </c>
      <c r="E32" s="167"/>
      <c r="F32" s="161" t="str">
        <f>IF(E32="","",IFERROR(INDEX(SizeTable[],MATCH(ROUND(VALUE(E32),2),INDEX(SizeTable[],0,1),0),3),INDEX(SizeTable[],MATCH(TRIM(E32&amp;""),INDEX(SizeTable[],0,1),0),3)))</f>
        <v/>
      </c>
      <c r="G32" s="168"/>
      <c r="H32" s="155" t="str">
        <f t="shared" si="0"/>
        <v/>
      </c>
    </row>
    <row r="33" spans="2:8" ht="16.899999999999999" hidden="1" customHeight="1" x14ac:dyDescent="0.3">
      <c r="B33" s="153"/>
      <c r="D33" s="154" t="str">
        <f>IF(E33="","",IFERROR(INDEX(SizeTable[],MATCH(ROUND(VALUE(E33),2),INDEX(SizeTable[],0,1),0),2),INDEX(SizeTable[],MATCH(TRIM(E33&amp;""),INDEX(SizeTable[],0,1),0),2)))</f>
        <v/>
      </c>
      <c r="E33" s="167"/>
      <c r="F33" s="161" t="str">
        <f>IF(E33="","",IFERROR(INDEX(SizeTable[],MATCH(ROUND(VALUE(E33),2),INDEX(SizeTable[],0,1),0),3),INDEX(SizeTable[],MATCH(TRIM(E33&amp;""),INDEX(SizeTable[],0,1),0),3)))</f>
        <v/>
      </c>
      <c r="G33" s="168"/>
      <c r="H33" s="155" t="str">
        <f t="shared" si="0"/>
        <v/>
      </c>
    </row>
    <row r="34" spans="2:8" ht="16.899999999999999" hidden="1" customHeight="1" x14ac:dyDescent="0.3">
      <c r="B34" s="153"/>
      <c r="D34" s="154" t="str">
        <f>IF(E34="","",IFERROR(INDEX(SizeTable[],MATCH(ROUND(VALUE(E34),2),INDEX(SizeTable[],0,1),0),2),INDEX(SizeTable[],MATCH(TRIM(E34&amp;""),INDEX(SizeTable[],0,1),0),2)))</f>
        <v/>
      </c>
      <c r="E34" s="167"/>
      <c r="F34" s="161" t="str">
        <f>IF(E34="","",IFERROR(INDEX(SizeTable[],MATCH(ROUND(VALUE(E34),2),INDEX(SizeTable[],0,1),0),3),INDEX(SizeTable[],MATCH(TRIM(E34&amp;""),INDEX(SizeTable[],0,1),0),3)))</f>
        <v/>
      </c>
      <c r="G34" s="168"/>
      <c r="H34" s="155" t="str">
        <f t="shared" si="0"/>
        <v/>
      </c>
    </row>
    <row r="35" spans="2:8" ht="16.899999999999999" hidden="1" customHeight="1" x14ac:dyDescent="0.3">
      <c r="B35" s="153"/>
      <c r="D35" s="154" t="str">
        <f>IF(E35="","",IFERROR(INDEX(SizeTable[],MATCH(ROUND(VALUE(E35),2),INDEX(SizeTable[],0,1),0),2),INDEX(SizeTable[],MATCH(TRIM(E35&amp;""),INDEX(SizeTable[],0,1),0),2)))</f>
        <v/>
      </c>
      <c r="E35" s="167"/>
      <c r="F35" s="161" t="str">
        <f>IF(E35="","",IFERROR(INDEX(SizeTable[],MATCH(ROUND(VALUE(E35),2),INDEX(SizeTable[],0,1),0),3),INDEX(SizeTable[],MATCH(TRIM(E35&amp;""),INDEX(SizeTable[],0,1),0),3)))</f>
        <v/>
      </c>
      <c r="G35" s="168"/>
      <c r="H35" s="155" t="str">
        <f t="shared" si="0"/>
        <v/>
      </c>
    </row>
    <row r="36" spans="2:8" ht="16.899999999999999" hidden="1" customHeight="1" x14ac:dyDescent="0.3">
      <c r="B36" s="153"/>
      <c r="D36" s="154" t="str">
        <f>IF(E36="","",IFERROR(INDEX(SizeTable[],MATCH(ROUND(VALUE(E36),2),INDEX(SizeTable[],0,1),0),2),INDEX(SizeTable[],MATCH(TRIM(E36&amp;""),INDEX(SizeTable[],0,1),0),2)))</f>
        <v/>
      </c>
      <c r="E36" s="167"/>
      <c r="F36" s="161" t="str">
        <f>IF(E36="","",IFERROR(INDEX(SizeTable[],MATCH(ROUND(VALUE(E36),2),INDEX(SizeTable[],0,1),0),3),INDEX(SizeTable[],MATCH(TRIM(E36&amp;""),INDEX(SizeTable[],0,1),0),3)))</f>
        <v/>
      </c>
      <c r="G36" s="168"/>
      <c r="H36" s="155" t="str">
        <f t="shared" si="0"/>
        <v/>
      </c>
    </row>
    <row r="37" spans="2:8" ht="16.899999999999999" hidden="1" customHeight="1" x14ac:dyDescent="0.3">
      <c r="B37" s="153"/>
      <c r="D37" s="154" t="str">
        <f>IF(E37="","",IFERROR(INDEX(SizeTable[],MATCH(ROUND(VALUE(E37),2),INDEX(SizeTable[],0,1),0),2),INDEX(SizeTable[],MATCH(TRIM(E37&amp;""),INDEX(SizeTable[],0,1),0),2)))</f>
        <v/>
      </c>
      <c r="E37" s="167"/>
      <c r="F37" s="161" t="str">
        <f>IF(E37="","",IFERROR(INDEX(SizeTable[],MATCH(ROUND(VALUE(E37),2),INDEX(SizeTable[],0,1),0),3),INDEX(SizeTable[],MATCH(TRIM(E37&amp;""),INDEX(SizeTable[],0,1),0),3)))</f>
        <v/>
      </c>
      <c r="G37" s="168"/>
      <c r="H37" s="155" t="str">
        <f t="shared" si="0"/>
        <v/>
      </c>
    </row>
    <row r="38" spans="2:8" ht="16.899999999999999" hidden="1" customHeight="1" x14ac:dyDescent="0.3">
      <c r="B38" s="153"/>
      <c r="D38" s="154" t="str">
        <f>IF(E38="","",IFERROR(INDEX(SizeTable[],MATCH(ROUND(VALUE(E38),2),INDEX(SizeTable[],0,1),0),2),INDEX(SizeTable[],MATCH(TRIM(E38&amp;""),INDEX(SizeTable[],0,1),0),2)))</f>
        <v/>
      </c>
      <c r="E38" s="167"/>
      <c r="F38" s="161" t="str">
        <f>IF(E38="","",IFERROR(INDEX(SizeTable[],MATCH(ROUND(VALUE(E38),2),INDEX(SizeTable[],0,1),0),3),INDEX(SizeTable[],MATCH(TRIM(E38&amp;""),INDEX(SizeTable[],0,1),0),3)))</f>
        <v/>
      </c>
      <c r="G38" s="168"/>
      <c r="H38" s="155" t="str">
        <f t="shared" si="0"/>
        <v/>
      </c>
    </row>
    <row r="39" spans="2:8" ht="16.899999999999999" hidden="1" customHeight="1" x14ac:dyDescent="0.3">
      <c r="B39" s="153"/>
      <c r="D39" s="154" t="str">
        <f>IF(E39="","",IFERROR(INDEX(SizeTable[],MATCH(ROUND(VALUE(E39),2),INDEX(SizeTable[],0,1),0),2),INDEX(SizeTable[],MATCH(TRIM(E39&amp;""),INDEX(SizeTable[],0,1),0),2)))</f>
        <v/>
      </c>
      <c r="E39" s="167"/>
      <c r="F39" s="161" t="str">
        <f>IF(E39="","",IFERROR(INDEX(SizeTable[],MATCH(ROUND(VALUE(E39),2),INDEX(SizeTable[],0,1),0),3),INDEX(SizeTable[],MATCH(TRIM(E39&amp;""),INDEX(SizeTable[],0,1),0),3)))</f>
        <v/>
      </c>
      <c r="G39" s="168"/>
      <c r="H39" s="155" t="str">
        <f t="shared" si="0"/>
        <v/>
      </c>
    </row>
    <row r="40" spans="2:8" ht="16.899999999999999" hidden="1" customHeight="1" x14ac:dyDescent="0.3">
      <c r="B40" s="153"/>
      <c r="D40" s="154" t="str">
        <f>IF(E40="","",IFERROR(INDEX(SizeTable[],MATCH(ROUND(VALUE(E40),2),INDEX(SizeTable[],0,1),0),2),INDEX(SizeTable[],MATCH(TRIM(E40&amp;""),INDEX(SizeTable[],0,1),0),2)))</f>
        <v/>
      </c>
      <c r="E40" s="167"/>
      <c r="F40" s="161" t="str">
        <f>IF(E40="","",IFERROR(INDEX(SizeTable[],MATCH(ROUND(VALUE(E40),2),INDEX(SizeTable[],0,1),0),3),INDEX(SizeTable[],MATCH(TRIM(E40&amp;""),INDEX(SizeTable[],0,1),0),3)))</f>
        <v/>
      </c>
      <c r="G40" s="168"/>
      <c r="H40" s="155" t="str">
        <f t="shared" si="0"/>
        <v/>
      </c>
    </row>
    <row r="41" spans="2:8" ht="16.899999999999999" hidden="1" customHeight="1" x14ac:dyDescent="0.3">
      <c r="B41" s="153"/>
      <c r="D41" s="154" t="str">
        <f>IF(E41="","",IFERROR(INDEX(SizeTable[],MATCH(ROUND(VALUE(E41),2),INDEX(SizeTable[],0,1),0),2),INDEX(SizeTable[],MATCH(TRIM(E41&amp;""),INDEX(SizeTable[],0,1),0),2)))</f>
        <v/>
      </c>
      <c r="E41" s="167"/>
      <c r="F41" s="161" t="str">
        <f>IF(E41="","",IFERROR(INDEX(SizeTable[],MATCH(ROUND(VALUE(E41),2),INDEX(SizeTable[],0,1),0),3),INDEX(SizeTable[],MATCH(TRIM(E41&amp;""),INDEX(SizeTable[],0,1),0),3)))</f>
        <v/>
      </c>
      <c r="G41" s="168"/>
      <c r="H41" s="155" t="str">
        <f t="shared" si="0"/>
        <v/>
      </c>
    </row>
    <row r="42" spans="2:8" ht="16.899999999999999" hidden="1" customHeight="1" x14ac:dyDescent="0.3">
      <c r="B42" s="153"/>
      <c r="D42" s="154" t="str">
        <f>IF(E42="","",IFERROR(INDEX(SizeTable[],MATCH(ROUND(VALUE(E42),2),INDEX(SizeTable[],0,1),0),2),INDEX(SizeTable[],MATCH(TRIM(E42&amp;""),INDEX(SizeTable[],0,1),0),2)))</f>
        <v/>
      </c>
      <c r="E42" s="167"/>
      <c r="F42" s="161" t="str">
        <f>IF(E42="","",IFERROR(INDEX(SizeTable[],MATCH(ROUND(VALUE(E42),2),INDEX(SizeTable[],0,1),0),3),INDEX(SizeTable[],MATCH(TRIM(E42&amp;""),INDEX(SizeTable[],0,1),0),3)))</f>
        <v/>
      </c>
      <c r="G42" s="168"/>
      <c r="H42" s="155" t="str">
        <f t="shared" si="0"/>
        <v/>
      </c>
    </row>
    <row r="43" spans="2:8" ht="16.899999999999999" hidden="1" customHeight="1" x14ac:dyDescent="0.3">
      <c r="D43" s="154" t="str">
        <f>IF(E43="","",IFERROR(INDEX(SizeTable[],MATCH(ROUND(VALUE(E43),2),INDEX(SizeTable[],0,1),0),2),INDEX(SizeTable[],MATCH(TRIM(E43&amp;""),INDEX(SizeTable[],0,1),0),2)))</f>
        <v/>
      </c>
      <c r="E43" s="159"/>
      <c r="F43" s="161" t="str">
        <f>IF(E43="","",IFERROR(INDEX(SizeTable[],MATCH(ROUND(VALUE(E43),2),INDEX(SizeTable[],0,1),0),3),INDEX(SizeTable[],MATCH(TRIM(E43&amp;""),INDEX(SizeTable[],0,1),0),3)))</f>
        <v/>
      </c>
      <c r="G43" s="172"/>
      <c r="H43" s="155" t="str">
        <f t="shared" si="0"/>
        <v/>
      </c>
    </row>
    <row r="44" spans="2:8" ht="16.899999999999999" hidden="1" customHeight="1" x14ac:dyDescent="0.3">
      <c r="D44" s="154" t="str">
        <f>IF(E44="","",IFERROR(INDEX(SizeTable[],MATCH(ROUND(VALUE(E44),2),INDEX(SizeTable[],0,1),0),2),INDEX(SizeTable[],MATCH(TRIM(E44&amp;""),INDEX(SizeTable[],0,1),0),2)))</f>
        <v/>
      </c>
      <c r="E44" s="159"/>
      <c r="F44" s="161" t="str">
        <f>IF(E44="","",IFERROR(INDEX(SizeTable[],MATCH(ROUND(VALUE(E44),2),INDEX(SizeTable[],0,1),0),3),INDEX(SizeTable[],MATCH(TRIM(E44&amp;""),INDEX(SizeTable[],0,1),0),3)))</f>
        <v/>
      </c>
      <c r="G44" s="172"/>
      <c r="H44" s="155" t="str">
        <f t="shared" si="0"/>
        <v/>
      </c>
    </row>
    <row r="45" spans="2:8" ht="16.899999999999999" hidden="1" customHeight="1" x14ac:dyDescent="0.3">
      <c r="D45" s="154" t="str">
        <f>IF(E45="","",IFERROR(INDEX(SizeTable[],MATCH(ROUND(VALUE(E45),2),INDEX(SizeTable[],0,1),0),2),INDEX(SizeTable[],MATCH(TRIM(E45&amp;""),INDEX(SizeTable[],0,1),0),2)))</f>
        <v/>
      </c>
      <c r="E45" s="159"/>
      <c r="F45" s="161" t="str">
        <f>IF(E45="","",IFERROR(INDEX(SizeTable[],MATCH(ROUND(VALUE(E45),2),INDEX(SizeTable[],0,1),0),3),INDEX(SizeTable[],MATCH(TRIM(E45&amp;""),INDEX(SizeTable[],0,1),0),3)))</f>
        <v/>
      </c>
      <c r="G45" s="172"/>
      <c r="H45" s="155" t="str">
        <f t="shared" si="0"/>
        <v/>
      </c>
    </row>
    <row r="46" spans="2:8" ht="16.899999999999999" hidden="1" customHeight="1" x14ac:dyDescent="0.3">
      <c r="D46" s="154" t="str">
        <f>IF(E46="","",IFERROR(INDEX(SizeTable[],MATCH(ROUND(VALUE(E46),2),INDEX(SizeTable[],0,1),0),2),INDEX(SizeTable[],MATCH(TRIM(E46&amp;""),INDEX(SizeTable[],0,1),0),2)))</f>
        <v/>
      </c>
      <c r="E46" s="159"/>
      <c r="F46" s="161" t="str">
        <f>IF(E46="","",IFERROR(INDEX(SizeTable[],MATCH(ROUND(VALUE(E46),2),INDEX(SizeTable[],0,1),0),3),INDEX(SizeTable[],MATCH(TRIM(E46&amp;""),INDEX(SizeTable[],0,1),0),3)))</f>
        <v/>
      </c>
      <c r="G46" s="172"/>
      <c r="H46" s="155" t="str">
        <f t="shared" si="0"/>
        <v/>
      </c>
    </row>
    <row r="47" spans="2:8" ht="16.899999999999999" hidden="1" customHeight="1" x14ac:dyDescent="0.3">
      <c r="D47" s="154" t="str">
        <f>IF(E47="","",IFERROR(INDEX(SizeTable[],MATCH(ROUND(VALUE(E47),2),INDEX(SizeTable[],0,1),0),2),INDEX(SizeTable[],MATCH(TRIM(E47&amp;""),INDEX(SizeTable[],0,1),0),2)))</f>
        <v/>
      </c>
      <c r="E47" s="159"/>
      <c r="F47" s="161" t="str">
        <f>IF(E47="","",IFERROR(INDEX(SizeTable[],MATCH(ROUND(VALUE(E47),2),INDEX(SizeTable[],0,1),0),3),INDEX(SizeTable[],MATCH(TRIM(E47&amp;""),INDEX(SizeTable[],0,1),0),3)))</f>
        <v/>
      </c>
      <c r="G47" s="172"/>
      <c r="H47" s="155" t="str">
        <f t="shared" si="0"/>
        <v/>
      </c>
    </row>
    <row r="48" spans="2:8" ht="16.899999999999999" hidden="1" customHeight="1" x14ac:dyDescent="0.3">
      <c r="D48" s="154" t="str">
        <f>IF(E48="","",IFERROR(INDEX(SizeTable[],MATCH(ROUND(VALUE(E48),2),INDEX(SizeTable[],0,1),0),2),INDEX(SizeTable[],MATCH(TRIM(E48&amp;""),INDEX(SizeTable[],0,1),0),2)))</f>
        <v/>
      </c>
      <c r="E48" s="159"/>
      <c r="F48" s="161" t="str">
        <f>IF(E48="","",IFERROR(INDEX(SizeTable[],MATCH(ROUND(VALUE(E48),2),INDEX(SizeTable[],0,1),0),3),INDEX(SizeTable[],MATCH(TRIM(E48&amp;""),INDEX(SizeTable[],0,1),0),3)))</f>
        <v/>
      </c>
      <c r="G48" s="172"/>
      <c r="H48" s="155" t="str">
        <f t="shared" si="0"/>
        <v/>
      </c>
    </row>
    <row r="49" spans="4:8" ht="16.899999999999999" hidden="1" customHeight="1" x14ac:dyDescent="0.3">
      <c r="D49" s="154" t="str">
        <f>IF(E49="","",IFERROR(INDEX(SizeTable[],MATCH(ROUND(VALUE(E49),2),INDEX(SizeTable[],0,1),0),2),INDEX(SizeTable[],MATCH(TRIM(E49&amp;""),INDEX(SizeTable[],0,1),0),2)))</f>
        <v/>
      </c>
      <c r="E49" s="159"/>
      <c r="F49" s="161" t="str">
        <f>IF(E49="","",IFERROR(INDEX(SizeTable[],MATCH(ROUND(VALUE(E49),2),INDEX(SizeTable[],0,1),0),3),INDEX(SizeTable[],MATCH(TRIM(E49&amp;""),INDEX(SizeTable[],0,1),0),3)))</f>
        <v/>
      </c>
      <c r="G49" s="172"/>
      <c r="H49" s="155" t="str">
        <f t="shared" si="0"/>
        <v/>
      </c>
    </row>
    <row r="50" spans="4:8" ht="16.899999999999999" hidden="1" customHeight="1" x14ac:dyDescent="0.3">
      <c r="D50" s="154" t="str">
        <f>IF(E50="","",IFERROR(INDEX(SizeTable[],MATCH(ROUND(VALUE(E50),2),INDEX(SizeTable[],0,1),0),2),INDEX(SizeTable[],MATCH(TRIM(E50&amp;""),INDEX(SizeTable[],0,1),0),2)))</f>
        <v/>
      </c>
      <c r="E50" s="159"/>
      <c r="F50" s="161" t="str">
        <f>IF(E50="","",IFERROR(INDEX(SizeTable[],MATCH(ROUND(VALUE(E50),2),INDEX(SizeTable[],0,1),0),3),INDEX(SizeTable[],MATCH(TRIM(E50&amp;""),INDEX(SizeTable[],0,1),0),3)))</f>
        <v/>
      </c>
      <c r="G50" s="172"/>
      <c r="H50" s="155" t="str">
        <f t="shared" si="0"/>
        <v/>
      </c>
    </row>
    <row r="51" spans="4:8" ht="16.899999999999999" hidden="1" customHeight="1" x14ac:dyDescent="0.3">
      <c r="D51" s="154" t="str">
        <f>IF(E51="","",IFERROR(INDEX(SizeTable[],MATCH(ROUND(VALUE(E51),2),INDEX(SizeTable[],0,1),0),2),INDEX(SizeTable[],MATCH(TRIM(E51&amp;""),INDEX(SizeTable[],0,1),0),2)))</f>
        <v/>
      </c>
      <c r="E51" s="159"/>
      <c r="F51" s="161" t="str">
        <f>IF(E51="","",IFERROR(INDEX(SizeTable[],MATCH(ROUND(VALUE(E51),2),INDEX(SizeTable[],0,1),0),3),INDEX(SizeTable[],MATCH(TRIM(E51&amp;""),INDEX(SizeTable[],0,1),0),3)))</f>
        <v/>
      </c>
      <c r="G51" s="172"/>
      <c r="H51" s="155" t="str">
        <f t="shared" si="0"/>
        <v/>
      </c>
    </row>
    <row r="52" spans="4:8" ht="16.899999999999999" hidden="1" customHeight="1" x14ac:dyDescent="0.3">
      <c r="D52" s="154" t="str">
        <f>IF(E52="","",IFERROR(INDEX(SizeTable[],MATCH(ROUND(VALUE(E52),2),INDEX(SizeTable[],0,1),0),2),INDEX(SizeTable[],MATCH(TRIM(E52&amp;""),INDEX(SizeTable[],0,1),0),2)))</f>
        <v/>
      </c>
      <c r="E52" s="159"/>
      <c r="F52" s="161" t="str">
        <f>IF(E52="","",IFERROR(INDEX(SizeTable[],MATCH(ROUND(VALUE(E52),2),INDEX(SizeTable[],0,1),0),3),INDEX(SizeTable[],MATCH(TRIM(E52&amp;""),INDEX(SizeTable[],0,1),0),3)))</f>
        <v/>
      </c>
      <c r="G52" s="172"/>
      <c r="H52" s="155" t="str">
        <f t="shared" si="0"/>
        <v/>
      </c>
    </row>
    <row r="53" spans="4:8" ht="16.899999999999999" hidden="1" customHeight="1" x14ac:dyDescent="0.3">
      <c r="D53" s="154" t="str">
        <f>IF(E53="","",IFERROR(INDEX(SizeTable[],MATCH(ROUND(VALUE(E53),2),INDEX(SizeTable[],0,1),0),2),INDEX(SizeTable[],MATCH(TRIM(E53&amp;""),INDEX(SizeTable[],0,1),0),2)))</f>
        <v/>
      </c>
      <c r="E53" s="159"/>
      <c r="F53" s="161" t="str">
        <f>IF(E53="","",IFERROR(INDEX(SizeTable[],MATCH(ROUND(VALUE(E53),2),INDEX(SizeTable[],0,1),0),3),INDEX(SizeTable[],MATCH(TRIM(E53&amp;""),INDEX(SizeTable[],0,1),0),3)))</f>
        <v/>
      </c>
      <c r="G53" s="172"/>
      <c r="H53" s="155" t="str">
        <f t="shared" si="0"/>
        <v/>
      </c>
    </row>
    <row r="54" spans="4:8" ht="16.899999999999999" hidden="1" customHeight="1" x14ac:dyDescent="0.3">
      <c r="D54" s="154" t="str">
        <f>IF(E54="","",IFERROR(INDEX(SizeTable[],MATCH(ROUND(VALUE(E54),2),INDEX(SizeTable[],0,1),0),2),INDEX(SizeTable[],MATCH(TRIM(E54&amp;""),INDEX(SizeTable[],0,1),0),2)))</f>
        <v/>
      </c>
      <c r="E54" s="159"/>
      <c r="F54" s="161" t="str">
        <f>IF(E54="","",IFERROR(INDEX(SizeTable[],MATCH(ROUND(VALUE(E54),2),INDEX(SizeTable[],0,1),0),3),INDEX(SizeTable[],MATCH(TRIM(E54&amp;""),INDEX(SizeTable[],0,1),0),3)))</f>
        <v/>
      </c>
      <c r="G54" s="172"/>
      <c r="H54" s="155" t="str">
        <f t="shared" si="0"/>
        <v/>
      </c>
    </row>
    <row r="55" spans="4:8" ht="16.899999999999999" hidden="1" customHeight="1" x14ac:dyDescent="0.3">
      <c r="D55" s="154" t="str">
        <f>IF(E55="","",IFERROR(INDEX(SizeTable[],MATCH(ROUND(VALUE(E55),2),INDEX(SizeTable[],0,1),0),2),INDEX(SizeTable[],MATCH(TRIM(E55&amp;""),INDEX(SizeTable[],0,1),0),2)))</f>
        <v/>
      </c>
      <c r="E55" s="159"/>
      <c r="F55" s="161" t="str">
        <f>IF(E55="","",IFERROR(INDEX(SizeTable[],MATCH(ROUND(VALUE(E55),2),INDEX(SizeTable[],0,1),0),3),INDEX(SizeTable[],MATCH(TRIM(E55&amp;""),INDEX(SizeTable[],0,1),0),3)))</f>
        <v/>
      </c>
      <c r="G55" s="172"/>
      <c r="H55" s="155" t="str">
        <f t="shared" si="0"/>
        <v/>
      </c>
    </row>
    <row r="56" spans="4:8" ht="16.899999999999999" hidden="1" customHeight="1" x14ac:dyDescent="0.3">
      <c r="D56" s="154" t="str">
        <f>IF(E56="","",IFERROR(INDEX(SizeTable[],MATCH(ROUND(VALUE(E56),2),INDEX(SizeTable[],0,1),0),2),INDEX(SizeTable[],MATCH(TRIM(E56&amp;""),INDEX(SizeTable[],0,1),0),2)))</f>
        <v/>
      </c>
      <c r="E56" s="159"/>
      <c r="F56" s="161" t="str">
        <f>IF(E56="","",IFERROR(INDEX(SizeTable[],MATCH(ROUND(VALUE(E56),2),INDEX(SizeTable[],0,1),0),3),INDEX(SizeTable[],MATCH(TRIM(E56&amp;""),INDEX(SizeTable[],0,1),0),3)))</f>
        <v/>
      </c>
      <c r="G56" s="172"/>
      <c r="H56" s="155" t="str">
        <f t="shared" si="0"/>
        <v/>
      </c>
    </row>
    <row r="57" spans="4:8" ht="16.899999999999999" hidden="1" customHeight="1" x14ac:dyDescent="0.3">
      <c r="D57" s="154" t="str">
        <f>IF(E57="","",IFERROR(INDEX(SizeTable[],MATCH(ROUND(VALUE(E57),2),INDEX(SizeTable[],0,1),0),2),INDEX(SizeTable[],MATCH(TRIM(E57&amp;""),INDEX(SizeTable[],0,1),0),2)))</f>
        <v/>
      </c>
      <c r="E57" s="159"/>
      <c r="F57" s="161" t="str">
        <f>IF(E57="","",IFERROR(INDEX(SizeTable[],MATCH(ROUND(VALUE(E57),2),INDEX(SizeTable[],0,1),0),3),INDEX(SizeTable[],MATCH(TRIM(E57&amp;""),INDEX(SizeTable[],0,1),0),3)))</f>
        <v/>
      </c>
      <c r="G57" s="172"/>
      <c r="H57" s="155" t="str">
        <f t="shared" si="0"/>
        <v/>
      </c>
    </row>
    <row r="58" spans="4:8" ht="16.899999999999999" hidden="1" customHeight="1" x14ac:dyDescent="0.3">
      <c r="D58" s="154" t="str">
        <f>IF(E58="","",IFERROR(INDEX(SizeTable[],MATCH(ROUND(VALUE(E58),2),INDEX(SizeTable[],0,1),0),2),INDEX(SizeTable[],MATCH(TRIM(E58&amp;""),INDEX(SizeTable[],0,1),0),2)))</f>
        <v/>
      </c>
      <c r="E58" s="159"/>
      <c r="F58" s="161" t="str">
        <f>IF(E58="","",IFERROR(INDEX(SizeTable[],MATCH(ROUND(VALUE(E58),2),INDEX(SizeTable[],0,1),0),3),INDEX(SizeTable[],MATCH(TRIM(E58&amp;""),INDEX(SizeTable[],0,1),0),3)))</f>
        <v/>
      </c>
      <c r="G58" s="172"/>
      <c r="H58" s="155" t="str">
        <f t="shared" si="0"/>
        <v/>
      </c>
    </row>
    <row r="59" spans="4:8" ht="16.899999999999999" hidden="1" customHeight="1" x14ac:dyDescent="0.3">
      <c r="D59" s="154" t="str">
        <f>IF(E59="","",IFERROR(INDEX(SizeTable[],MATCH(ROUND(VALUE(E59),2),INDEX(SizeTable[],0,1),0),2),INDEX(SizeTable[],MATCH(TRIM(E59&amp;""),INDEX(SizeTable[],0,1),0),2)))</f>
        <v/>
      </c>
      <c r="E59" s="159"/>
      <c r="F59" s="161" t="str">
        <f>IF(E59="","",IFERROR(INDEX(SizeTable[],MATCH(ROUND(VALUE(E59),2),INDEX(SizeTable[],0,1),0),3),INDEX(SizeTable[],MATCH(TRIM(E59&amp;""),INDEX(SizeTable[],0,1),0),3)))</f>
        <v/>
      </c>
      <c r="G59" s="172"/>
      <c r="H59" s="155" t="str">
        <f t="shared" si="0"/>
        <v/>
      </c>
    </row>
    <row r="60" spans="4:8" ht="16.899999999999999" hidden="1" customHeight="1" x14ac:dyDescent="0.3">
      <c r="D60" s="154" t="str">
        <f>IF(E60="","",IFERROR(INDEX(SizeTable[],MATCH(ROUND(VALUE(E60),2),INDEX(SizeTable[],0,1),0),2),INDEX(SizeTable[],MATCH(TRIM(E60&amp;""),INDEX(SizeTable[],0,1),0),2)))</f>
        <v/>
      </c>
      <c r="E60" s="159"/>
      <c r="F60" s="161" t="str">
        <f>IF(E60="","",IFERROR(INDEX(SizeTable[],MATCH(ROUND(VALUE(E60),2),INDEX(SizeTable[],0,1),0),3),INDEX(SizeTable[],MATCH(TRIM(E60&amp;""),INDEX(SizeTable[],0,1),0),3)))</f>
        <v/>
      </c>
      <c r="G60" s="172"/>
      <c r="H60" s="155" t="str">
        <f t="shared" si="0"/>
        <v/>
      </c>
    </row>
    <row r="61" spans="4:8" ht="16.899999999999999" hidden="1" customHeight="1" x14ac:dyDescent="0.3">
      <c r="D61" s="154" t="str">
        <f>IF(E61="","",IFERROR(INDEX(SizeTable[],MATCH(ROUND(VALUE(E61),2),INDEX(SizeTable[],0,1),0),2),INDEX(SizeTable[],MATCH(TRIM(E61&amp;""),INDEX(SizeTable[],0,1),0),2)))</f>
        <v/>
      </c>
      <c r="E61" s="159"/>
      <c r="F61" s="161" t="str">
        <f>IF(E61="","",IFERROR(INDEX(SizeTable[],MATCH(ROUND(VALUE(E61),2),INDEX(SizeTable[],0,1),0),3),INDEX(SizeTable[],MATCH(TRIM(E61&amp;""),INDEX(SizeTable[],0,1),0),3)))</f>
        <v/>
      </c>
      <c r="G61" s="172"/>
      <c r="H61" s="155" t="str">
        <f t="shared" si="0"/>
        <v/>
      </c>
    </row>
    <row r="62" spans="4:8" ht="16.899999999999999" hidden="1" customHeight="1" x14ac:dyDescent="0.3">
      <c r="D62" s="154" t="str">
        <f>IF(E62="","",IFERROR(INDEX(SizeTable[],MATCH(ROUND(VALUE(E62),2),INDEX(SizeTable[],0,1),0),2),INDEX(SizeTable[],MATCH(TRIM(E62&amp;""),INDEX(SizeTable[],0,1),0),2)))</f>
        <v/>
      </c>
      <c r="E62" s="159"/>
      <c r="F62" s="161" t="str">
        <f>IF(E62="","",IFERROR(INDEX(SizeTable[],MATCH(ROUND(VALUE(E62),2),INDEX(SizeTable[],0,1),0),3),INDEX(SizeTable[],MATCH(TRIM(E62&amp;""),INDEX(SizeTable[],0,1),0),3)))</f>
        <v/>
      </c>
      <c r="G62" s="172"/>
      <c r="H62" s="155" t="str">
        <f t="shared" si="0"/>
        <v/>
      </c>
    </row>
    <row r="63" spans="4:8" ht="16.899999999999999" hidden="1" customHeight="1" x14ac:dyDescent="0.3">
      <c r="D63" s="154" t="str">
        <f>IF(E63="","",IFERROR(INDEX(SizeTable[],MATCH(ROUND(VALUE(E63),2),INDEX(SizeTable[],0,1),0),2),INDEX(SizeTable[],MATCH(TRIM(E63&amp;""),INDEX(SizeTable[],0,1),0),2)))</f>
        <v/>
      </c>
      <c r="E63" s="159"/>
      <c r="F63" s="161" t="str">
        <f>IF(E63="","",IFERROR(INDEX(SizeTable[],MATCH(ROUND(VALUE(E63),2),INDEX(SizeTable[],0,1),0),3),INDEX(SizeTable[],MATCH(TRIM(E63&amp;""),INDEX(SizeTable[],0,1),0),3)))</f>
        <v/>
      </c>
      <c r="G63" s="172"/>
      <c r="H63" s="155" t="str">
        <f t="shared" si="0"/>
        <v/>
      </c>
    </row>
    <row r="64" spans="4:8" ht="16.899999999999999" hidden="1" customHeight="1" x14ac:dyDescent="0.3">
      <c r="D64" s="154" t="str">
        <f>IF(E64="","",IFERROR(INDEX(SizeTable[],MATCH(ROUND(VALUE(E64),2),INDEX(SizeTable[],0,1),0),2),INDEX(SizeTable[],MATCH(TRIM(E64&amp;""),INDEX(SizeTable[],0,1),0),2)))</f>
        <v/>
      </c>
      <c r="E64" s="159"/>
      <c r="F64" s="161" t="str">
        <f>IF(E64="","",IFERROR(INDEX(SizeTable[],MATCH(ROUND(VALUE(E64),2),INDEX(SizeTable[],0,1),0),3),INDEX(SizeTable[],MATCH(TRIM(E64&amp;""),INDEX(SizeTable[],0,1),0),3)))</f>
        <v/>
      </c>
      <c r="G64" s="172"/>
      <c r="H64" s="155" t="str">
        <f t="shared" si="0"/>
        <v/>
      </c>
    </row>
    <row r="65" spans="4:8" ht="16.899999999999999" hidden="1" customHeight="1" x14ac:dyDescent="0.3">
      <c r="D65" s="154" t="str">
        <f>IF(E65="","",IFERROR(INDEX(SizeTable[],MATCH(ROUND(VALUE(E65),2),INDEX(SizeTable[],0,1),0),2),INDEX(SizeTable[],MATCH(TRIM(E65&amp;""),INDEX(SizeTable[],0,1),0),2)))</f>
        <v/>
      </c>
      <c r="E65" s="159"/>
      <c r="F65" s="161" t="str">
        <f>IF(E65="","",IFERROR(INDEX(SizeTable[],MATCH(ROUND(VALUE(E65),2),INDEX(SizeTable[],0,1),0),3),INDEX(SizeTable[],MATCH(TRIM(E65&amp;""),INDEX(SizeTable[],0,1),0),3)))</f>
        <v/>
      </c>
      <c r="G65" s="172"/>
      <c r="H65" s="155" t="str">
        <f t="shared" si="0"/>
        <v/>
      </c>
    </row>
    <row r="66" spans="4:8" ht="16.899999999999999" hidden="1" customHeight="1" x14ac:dyDescent="0.3">
      <c r="D66" s="154" t="str">
        <f>IF(E66="","",IFERROR(INDEX(SizeTable[],MATCH(ROUND(VALUE(E66),2),INDEX(SizeTable[],0,1),0),2),INDEX(SizeTable[],MATCH(TRIM(E66&amp;""),INDEX(SizeTable[],0,1),0),2)))</f>
        <v/>
      </c>
      <c r="E66" s="159"/>
      <c r="F66" s="161" t="str">
        <f>IF(E66="","",IFERROR(INDEX(SizeTable[],MATCH(ROUND(VALUE(E66),2),INDEX(SizeTable[],0,1),0),3),INDEX(SizeTable[],MATCH(TRIM(E66&amp;""),INDEX(SizeTable[],0,1),0),3)))</f>
        <v/>
      </c>
      <c r="G66" s="172"/>
      <c r="H66" s="155" t="str">
        <f t="shared" si="0"/>
        <v/>
      </c>
    </row>
    <row r="67" spans="4:8" ht="16.899999999999999" hidden="1" customHeight="1" x14ac:dyDescent="0.3">
      <c r="D67" s="154" t="str">
        <f>IF(E67="","",IFERROR(INDEX(SizeTable[],MATCH(ROUND(VALUE(E67),2),INDEX(SizeTable[],0,1),0),2),INDEX(SizeTable[],MATCH(TRIM(E67&amp;""),INDEX(SizeTable[],0,1),0),2)))</f>
        <v/>
      </c>
      <c r="E67" s="159"/>
      <c r="F67" s="161" t="str">
        <f>IF(E67="","",IFERROR(INDEX(SizeTable[],MATCH(ROUND(VALUE(E67),2),INDEX(SizeTable[],0,1),0),3),INDEX(SizeTable[],MATCH(TRIM(E67&amp;""),INDEX(SizeTable[],0,1),0),3)))</f>
        <v/>
      </c>
      <c r="G67" s="172"/>
      <c r="H67" s="155" t="str">
        <f t="shared" si="0"/>
        <v/>
      </c>
    </row>
    <row r="68" spans="4:8" ht="16.899999999999999" hidden="1" customHeight="1" x14ac:dyDescent="0.3">
      <c r="D68" s="154" t="str">
        <f>IF(E68="","",IFERROR(INDEX(SizeTable[],MATCH(ROUND(VALUE(E68),2),INDEX(SizeTable[],0,1),0),2),INDEX(SizeTable[],MATCH(TRIM(E68&amp;""),INDEX(SizeTable[],0,1),0),2)))</f>
        <v/>
      </c>
      <c r="E68" s="159"/>
      <c r="F68" s="161" t="str">
        <f>IF(E68="","",IFERROR(INDEX(SizeTable[],MATCH(ROUND(VALUE(E68),2),INDEX(SizeTable[],0,1),0),3),INDEX(SizeTable[],MATCH(TRIM(E68&amp;""),INDEX(SizeTable[],0,1),0),3)))</f>
        <v/>
      </c>
      <c r="G68" s="172"/>
      <c r="H68" s="155" t="str">
        <f t="shared" si="0"/>
        <v/>
      </c>
    </row>
    <row r="69" spans="4:8" ht="16.899999999999999" hidden="1" customHeight="1" x14ac:dyDescent="0.3">
      <c r="D69" s="154" t="str">
        <f>IF(E69="","",IFERROR(INDEX(SizeTable[],MATCH(ROUND(VALUE(E69),2),INDEX(SizeTable[],0,1),0),2),INDEX(SizeTable[],MATCH(TRIM(E69&amp;""),INDEX(SizeTable[],0,1),0),2)))</f>
        <v/>
      </c>
      <c r="E69" s="159"/>
      <c r="F69" s="161" t="str">
        <f>IF(E69="","",IFERROR(INDEX(SizeTable[],MATCH(ROUND(VALUE(E69),2),INDEX(SizeTable[],0,1),0),3),INDEX(SizeTable[],MATCH(TRIM(E69&amp;""),INDEX(SizeTable[],0,1),0),3)))</f>
        <v/>
      </c>
      <c r="G69" s="172"/>
      <c r="H69" s="155" t="str">
        <f t="shared" si="0"/>
        <v/>
      </c>
    </row>
    <row r="70" spans="4:8" ht="16.899999999999999" hidden="1" customHeight="1" x14ac:dyDescent="0.3">
      <c r="D70" s="154" t="str">
        <f>IF(E70="","",IFERROR(INDEX(SizeTable[],MATCH(ROUND(VALUE(E70),2),INDEX(SizeTable[],0,1),0),2),INDEX(SizeTable[],MATCH(TRIM(E70&amp;""),INDEX(SizeTable[],0,1),0),2)))</f>
        <v/>
      </c>
      <c r="E70" s="159"/>
      <c r="F70" s="161" t="str">
        <f>IF(E70="","",IFERROR(INDEX(SizeTable[],MATCH(ROUND(VALUE(E70),2),INDEX(SizeTable[],0,1),0),3),INDEX(SizeTable[],MATCH(TRIM(E70&amp;""),INDEX(SizeTable[],0,1),0),3)))</f>
        <v/>
      </c>
      <c r="G70" s="172"/>
      <c r="H70" s="155" t="str">
        <f t="shared" ref="H70:H84" si="1">IF(G70="","",F70*G70)</f>
        <v/>
      </c>
    </row>
    <row r="71" spans="4:8" ht="16.899999999999999" hidden="1" customHeight="1" x14ac:dyDescent="0.3">
      <c r="D71" s="154" t="str">
        <f>IF(E71="","",IFERROR(INDEX(SizeTable[],MATCH(ROUND(VALUE(E71),2),INDEX(SizeTable[],0,1),0),2),INDEX(SizeTable[],MATCH(TRIM(E71&amp;""),INDEX(SizeTable[],0,1),0),2)))</f>
        <v/>
      </c>
      <c r="E71" s="159"/>
      <c r="F71" s="161" t="str">
        <f>IF(E71="","",IFERROR(INDEX(SizeTable[],MATCH(ROUND(VALUE(E71),2),INDEX(SizeTable[],0,1),0),3),INDEX(SizeTable[],MATCH(TRIM(E71&amp;""),INDEX(SizeTable[],0,1),0),3)))</f>
        <v/>
      </c>
      <c r="G71" s="172"/>
      <c r="H71" s="155" t="str">
        <f t="shared" si="1"/>
        <v/>
      </c>
    </row>
    <row r="72" spans="4:8" ht="16.899999999999999" hidden="1" customHeight="1" x14ac:dyDescent="0.3">
      <c r="D72" s="154" t="str">
        <f>IF(E72="","",IFERROR(INDEX(SizeTable[],MATCH(ROUND(VALUE(E72),2),INDEX(SizeTable[],0,1),0),2),INDEX(SizeTable[],MATCH(TRIM(E72&amp;""),INDEX(SizeTable[],0,1),0),2)))</f>
        <v/>
      </c>
      <c r="E72" s="159"/>
      <c r="F72" s="161" t="str">
        <f>IF(E72="","",IFERROR(INDEX(SizeTable[],MATCH(ROUND(VALUE(E72),2),INDEX(SizeTable[],0,1),0),3),INDEX(SizeTable[],MATCH(TRIM(E72&amp;""),INDEX(SizeTable[],0,1),0),3)))</f>
        <v/>
      </c>
      <c r="G72" s="172"/>
      <c r="H72" s="155" t="str">
        <f t="shared" si="1"/>
        <v/>
      </c>
    </row>
    <row r="73" spans="4:8" ht="16.899999999999999" hidden="1" customHeight="1" x14ac:dyDescent="0.3">
      <c r="D73" s="154" t="str">
        <f>IF(E73="","",IFERROR(INDEX(SizeTable[],MATCH(ROUND(VALUE(E73),2),INDEX(SizeTable[],0,1),0),2),INDEX(SizeTable[],MATCH(TRIM(E73&amp;""),INDEX(SizeTable[],0,1),0),2)))</f>
        <v/>
      </c>
      <c r="E73" s="159"/>
      <c r="F73" s="161" t="str">
        <f>IF(E73="","",IFERROR(INDEX(SizeTable[],MATCH(ROUND(VALUE(E73),2),INDEX(SizeTable[],0,1),0),3),INDEX(SizeTable[],MATCH(TRIM(E73&amp;""),INDEX(SizeTable[],0,1),0),3)))</f>
        <v/>
      </c>
      <c r="G73" s="172"/>
      <c r="H73" s="155" t="str">
        <f t="shared" si="1"/>
        <v/>
      </c>
    </row>
    <row r="74" spans="4:8" ht="16.899999999999999" hidden="1" customHeight="1" x14ac:dyDescent="0.3">
      <c r="D74" s="154" t="str">
        <f>IF(E74="","",IFERROR(INDEX(SizeTable[],MATCH(ROUND(VALUE(E74),2),INDEX(SizeTable[],0,1),0),2),INDEX(SizeTable[],MATCH(TRIM(E74&amp;""),INDEX(SizeTable[],0,1),0),2)))</f>
        <v/>
      </c>
      <c r="E74" s="159"/>
      <c r="F74" s="161" t="str">
        <f>IF(E74="","",IFERROR(INDEX(SizeTable[],MATCH(ROUND(VALUE(E74),2),INDEX(SizeTable[],0,1),0),3),INDEX(SizeTable[],MATCH(TRIM(E74&amp;""),INDEX(SizeTable[],0,1),0),3)))</f>
        <v/>
      </c>
      <c r="G74" s="172"/>
      <c r="H74" s="155" t="str">
        <f t="shared" si="1"/>
        <v/>
      </c>
    </row>
    <row r="75" spans="4:8" ht="16.899999999999999" hidden="1" customHeight="1" x14ac:dyDescent="0.3">
      <c r="D75" s="154" t="str">
        <f>IF(E75="","",IFERROR(INDEX(SizeTable[],MATCH(ROUND(VALUE(E75),2),INDEX(SizeTable[],0,1),0),2),INDEX(SizeTable[],MATCH(TRIM(E75&amp;""),INDEX(SizeTable[],0,1),0),2)))</f>
        <v/>
      </c>
      <c r="E75" s="159"/>
      <c r="F75" s="161" t="str">
        <f>IF(E75="","",IFERROR(INDEX(SizeTable[],MATCH(ROUND(VALUE(E75),2),INDEX(SizeTable[],0,1),0),3),INDEX(SizeTable[],MATCH(TRIM(E75&amp;""),INDEX(SizeTable[],0,1),0),3)))</f>
        <v/>
      </c>
      <c r="G75" s="172"/>
      <c r="H75" s="155" t="str">
        <f t="shared" si="1"/>
        <v/>
      </c>
    </row>
    <row r="76" spans="4:8" ht="16.899999999999999" hidden="1" customHeight="1" x14ac:dyDescent="0.3">
      <c r="D76" s="154" t="str">
        <f>IF(E76="","",IFERROR(INDEX(SizeTable[],MATCH(ROUND(VALUE(E76),2),INDEX(SizeTable[],0,1),0),2),INDEX(SizeTable[],MATCH(TRIM(E76&amp;""),INDEX(SizeTable[],0,1),0),2)))</f>
        <v/>
      </c>
      <c r="E76" s="159"/>
      <c r="F76" s="161" t="str">
        <f>IF(E76="","",IFERROR(INDEX(SizeTable[],MATCH(ROUND(VALUE(E76),2),INDEX(SizeTable[],0,1),0),3),INDEX(SizeTable[],MATCH(TRIM(E76&amp;""),INDEX(SizeTable[],0,1),0),3)))</f>
        <v/>
      </c>
      <c r="G76" s="172"/>
      <c r="H76" s="155" t="str">
        <f t="shared" si="1"/>
        <v/>
      </c>
    </row>
    <row r="77" spans="4:8" ht="16.899999999999999" hidden="1" customHeight="1" x14ac:dyDescent="0.3">
      <c r="D77" s="154" t="str">
        <f>IF(E77="","",IFERROR(INDEX(SizeTable[],MATCH(ROUND(VALUE(E77),2),INDEX(SizeTable[],0,1),0),2),INDEX(SizeTable[],MATCH(TRIM(E77&amp;""),INDEX(SizeTable[],0,1),0),2)))</f>
        <v/>
      </c>
      <c r="E77" s="159"/>
      <c r="F77" s="161" t="str">
        <f>IF(E77="","",IFERROR(INDEX(SizeTable[],MATCH(ROUND(VALUE(E77),2),INDEX(SizeTable[],0,1),0),3),INDEX(SizeTable[],MATCH(TRIM(E77&amp;""),INDEX(SizeTable[],0,1),0),3)))</f>
        <v/>
      </c>
      <c r="G77" s="172"/>
      <c r="H77" s="155" t="str">
        <f t="shared" si="1"/>
        <v/>
      </c>
    </row>
    <row r="78" spans="4:8" ht="16.899999999999999" hidden="1" customHeight="1" x14ac:dyDescent="0.3">
      <c r="D78" s="154" t="str">
        <f>IF(E78="","",IFERROR(INDEX(SizeTable[],MATCH(ROUND(VALUE(E78),2),INDEX(SizeTable[],0,1),0),2),INDEX(SizeTable[],MATCH(TRIM(E78&amp;""),INDEX(SizeTable[],0,1),0),2)))</f>
        <v/>
      </c>
      <c r="E78" s="159"/>
      <c r="F78" s="161" t="str">
        <f>IF(E78="","",IFERROR(INDEX(SizeTable[],MATCH(ROUND(VALUE(E78),2),INDEX(SizeTable[],0,1),0),3),INDEX(SizeTable[],MATCH(TRIM(E78&amp;""),INDEX(SizeTable[],0,1),0),3)))</f>
        <v/>
      </c>
      <c r="G78" s="172"/>
      <c r="H78" s="155" t="str">
        <f t="shared" si="1"/>
        <v/>
      </c>
    </row>
    <row r="79" spans="4:8" ht="16.899999999999999" hidden="1" customHeight="1" x14ac:dyDescent="0.3">
      <c r="D79" s="154" t="str">
        <f>IF(E79="","",IFERROR(INDEX(SizeTable[],MATCH(ROUND(VALUE(E79),2),INDEX(SizeTable[],0,1),0),2),INDEX(SizeTable[],MATCH(TRIM(E79&amp;""),INDEX(SizeTable[],0,1),0),2)))</f>
        <v/>
      </c>
      <c r="E79" s="159"/>
      <c r="F79" s="161" t="str">
        <f>IF(E79="","",IFERROR(INDEX(SizeTable[],MATCH(ROUND(VALUE(E79),2),INDEX(SizeTable[],0,1),0),3),INDEX(SizeTable[],MATCH(TRIM(E79&amp;""),INDEX(SizeTable[],0,1),0),3)))</f>
        <v/>
      </c>
      <c r="G79" s="172"/>
      <c r="H79" s="155" t="str">
        <f t="shared" si="1"/>
        <v/>
      </c>
    </row>
    <row r="80" spans="4:8" ht="16.899999999999999" hidden="1" customHeight="1" x14ac:dyDescent="0.3">
      <c r="D80" s="154" t="str">
        <f>IF(E80="","",IFERROR(INDEX(SizeTable[],MATCH(ROUND(VALUE(E80),2),INDEX(SizeTable[],0,1),0),2),INDEX(SizeTable[],MATCH(TRIM(E80&amp;""),INDEX(SizeTable[],0,1),0),2)))</f>
        <v/>
      </c>
      <c r="E80" s="159"/>
      <c r="F80" s="161" t="str">
        <f>IF(E80="","",IFERROR(INDEX(SizeTable[],MATCH(ROUND(VALUE(E80),2),INDEX(SizeTable[],0,1),0),3),INDEX(SizeTable[],MATCH(TRIM(E80&amp;""),INDEX(SizeTable[],0,1),0),3)))</f>
        <v/>
      </c>
      <c r="G80" s="172"/>
      <c r="H80" s="155" t="str">
        <f t="shared" si="1"/>
        <v/>
      </c>
    </row>
    <row r="81" spans="4:8" ht="16.899999999999999" hidden="1" customHeight="1" x14ac:dyDescent="0.3">
      <c r="D81" s="154" t="str">
        <f>IF(E81="","",IFERROR(INDEX(SizeTable[],MATCH(ROUND(VALUE(E81),2),INDEX(SizeTable[],0,1),0),2),INDEX(SizeTable[],MATCH(TRIM(E81&amp;""),INDEX(SizeTable[],0,1),0),2)))</f>
        <v/>
      </c>
      <c r="E81" s="159"/>
      <c r="F81" s="161" t="str">
        <f>IF(E81="","",IFERROR(INDEX(SizeTable[],MATCH(ROUND(VALUE(E81),2),INDEX(SizeTable[],0,1),0),3),INDEX(SizeTable[],MATCH(TRIM(E81&amp;""),INDEX(SizeTable[],0,1),0),3)))</f>
        <v/>
      </c>
      <c r="G81" s="172"/>
      <c r="H81" s="155" t="str">
        <f t="shared" si="1"/>
        <v/>
      </c>
    </row>
    <row r="82" spans="4:8" ht="16.899999999999999" hidden="1" customHeight="1" x14ac:dyDescent="0.3">
      <c r="D82" s="154" t="str">
        <f>IF(E82="","",IFERROR(INDEX(SizeTable[],MATCH(ROUND(VALUE(E82),2),INDEX(SizeTable[],0,1),0),2),INDEX(SizeTable[],MATCH(TRIM(E82&amp;""),INDEX(SizeTable[],0,1),0),2)))</f>
        <v/>
      </c>
      <c r="E82" s="159"/>
      <c r="F82" s="161" t="str">
        <f>IF(E82="","",IFERROR(INDEX(SizeTable[],MATCH(ROUND(VALUE(E82),2),INDEX(SizeTable[],0,1),0),3),INDEX(SizeTable[],MATCH(TRIM(E82&amp;""),INDEX(SizeTable[],0,1),0),3)))</f>
        <v/>
      </c>
      <c r="G82" s="172"/>
      <c r="H82" s="155" t="str">
        <f t="shared" si="1"/>
        <v/>
      </c>
    </row>
    <row r="83" spans="4:8" ht="17.25" hidden="1" customHeight="1" x14ac:dyDescent="0.3">
      <c r="D83" s="154" t="str">
        <f>IF(E83="","",IFERROR(INDEX(SizeTable[],MATCH(ROUND(VALUE(E83),2),INDEX(SizeTable[],0,1),0),2),INDEX(SizeTable[],MATCH(TRIM(E83&amp;""),INDEX(SizeTable[],0,1),0),2)))</f>
        <v/>
      </c>
      <c r="E83" s="159"/>
      <c r="F83" s="161" t="str">
        <f>IF(E83="","",IFERROR(INDEX(SizeTable[],MATCH(ROUND(VALUE(E83),2),INDEX(SizeTable[],0,1),0),3),INDEX(SizeTable[],MATCH(TRIM(E83&amp;""),INDEX(SizeTable[],0,1),0),3)))</f>
        <v/>
      </c>
      <c r="G83" s="172"/>
      <c r="H83" s="155" t="str">
        <f t="shared" si="1"/>
        <v/>
      </c>
    </row>
    <row r="84" spans="4:8" ht="17.25" hidden="1" customHeight="1" thickBot="1" x14ac:dyDescent="0.35">
      <c r="D84" s="154" t="str">
        <f>IF(E84="","",IFERROR(INDEX(SizeTable[],MATCH(ROUND(VALUE(E84),2),INDEX(SizeTable[],0,1),0),2),INDEX(SizeTable[],MATCH(TRIM(E84&amp;""),INDEX(SizeTable[],0,1),0),2)))</f>
        <v/>
      </c>
      <c r="E84" s="160"/>
      <c r="F84" s="161" t="str">
        <f>IF(E84="","",IFERROR(INDEX(SizeTable[],MATCH(ROUND(VALUE(E84),2),INDEX(SizeTable[],0,1),0),3),INDEX(SizeTable[],MATCH(TRIM(E84&amp;""),INDEX(SizeTable[],0,1),0),3)))</f>
        <v/>
      </c>
      <c r="G84" s="173"/>
      <c r="H84" s="155" t="str">
        <f t="shared" si="1"/>
        <v/>
      </c>
    </row>
    <row r="85" spans="4:8" s="158" customFormat="1" ht="22.7" customHeight="1" thickBot="1" x14ac:dyDescent="0.35">
      <c r="D85" s="231" t="s">
        <v>75</v>
      </c>
      <c r="E85" s="232"/>
      <c r="F85" s="233"/>
      <c r="G85" s="157">
        <f>SUM(G5:G42)</f>
        <v>0</v>
      </c>
      <c r="H85" s="157">
        <f>SUM(H5:H84)</f>
        <v>0</v>
      </c>
    </row>
    <row r="88" spans="4:8" x14ac:dyDescent="0.3">
      <c r="F88" s="169"/>
    </row>
  </sheetData>
  <sheetProtection algorithmName="SHA-512" hashValue="9Q9oi1ET/ZoOnon9KSwEO5eHAJdLEByxL7VCWsSysFYiorw8gss7gIYeOj5u/Kzg1NikhRuH5y5vHgCcx9gzmw==" saltValue="sMnyIG0o0M8XB0g9QSvJ7A==" spinCount="100000" sheet="1" objects="1" scenarios="1"/>
  <mergeCells count="5">
    <mergeCell ref="D2:E2"/>
    <mergeCell ref="D3:E3"/>
    <mergeCell ref="G2:H2"/>
    <mergeCell ref="D85:F85"/>
    <mergeCell ref="G3:H3"/>
  </mergeCells>
  <pageMargins left="0.25" right="0.25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D714-B301-4D52-999D-6913FAB13E63}">
  <sheetPr codeName="Sheet5"/>
  <dimension ref="A1:C100"/>
  <sheetViews>
    <sheetView workbookViewId="0">
      <selection activeCell="G13" sqref="G13"/>
    </sheetView>
  </sheetViews>
  <sheetFormatPr defaultRowHeight="17.25" x14ac:dyDescent="0.25"/>
  <cols>
    <col min="1" max="3" width="17.28515625" style="149" customWidth="1"/>
    <col min="4" max="7" width="9.140625" style="149"/>
    <col min="8" max="8" width="19" style="149" customWidth="1"/>
    <col min="9" max="9" width="10.7109375" style="149" customWidth="1"/>
    <col min="10" max="16384" width="9.140625" style="149"/>
  </cols>
  <sheetData>
    <row r="1" spans="1:3" x14ac:dyDescent="0.25">
      <c r="A1" s="148" t="s">
        <v>98</v>
      </c>
      <c r="B1" s="148" t="s">
        <v>43</v>
      </c>
      <c r="C1" s="148" t="s">
        <v>88</v>
      </c>
    </row>
    <row r="2" spans="1:3" x14ac:dyDescent="0.25">
      <c r="A2" s="150" t="s">
        <v>99</v>
      </c>
      <c r="B2" s="150" t="s">
        <v>52</v>
      </c>
      <c r="C2" s="150">
        <v>2E-3</v>
      </c>
    </row>
    <row r="3" spans="1:3" x14ac:dyDescent="0.25">
      <c r="A3" s="150" t="s">
        <v>101</v>
      </c>
      <c r="B3" s="150" t="s">
        <v>52</v>
      </c>
      <c r="C3" s="150">
        <v>2.5000000000000001E-3</v>
      </c>
    </row>
    <row r="4" spans="1:3" x14ac:dyDescent="0.25">
      <c r="A4" s="150" t="s">
        <v>100</v>
      </c>
      <c r="B4" s="150" t="s">
        <v>64</v>
      </c>
      <c r="C4" s="150">
        <v>3.5000000000000001E-3</v>
      </c>
    </row>
    <row r="5" spans="1:3" x14ac:dyDescent="0.25">
      <c r="A5" s="150" t="s">
        <v>102</v>
      </c>
      <c r="B5" s="150" t="s">
        <v>8</v>
      </c>
      <c r="C5" s="150">
        <v>4.0000000000000001E-3</v>
      </c>
    </row>
    <row r="6" spans="1:3" x14ac:dyDescent="0.25">
      <c r="A6" s="150" t="s">
        <v>103</v>
      </c>
      <c r="B6" s="150" t="s">
        <v>9</v>
      </c>
      <c r="C6" s="150">
        <v>5.0000000000000001E-3</v>
      </c>
    </row>
    <row r="7" spans="1:3" x14ac:dyDescent="0.25">
      <c r="A7" s="150">
        <v>1.1000000000000001</v>
      </c>
      <c r="B7" s="150" t="s">
        <v>10</v>
      </c>
      <c r="C7" s="150">
        <v>7.0000000000000001E-3</v>
      </c>
    </row>
    <row r="8" spans="1:3" x14ac:dyDescent="0.25">
      <c r="A8" s="150">
        <v>1.1499999999999999</v>
      </c>
      <c r="B8" s="150" t="s">
        <v>11</v>
      </c>
      <c r="C8" s="150">
        <v>6.7000000000000002E-3</v>
      </c>
    </row>
    <row r="9" spans="1:3" x14ac:dyDescent="0.25">
      <c r="A9" s="150">
        <v>1.2</v>
      </c>
      <c r="B9" s="150" t="s">
        <v>12</v>
      </c>
      <c r="C9" s="150">
        <v>8.5000000000000006E-3</v>
      </c>
    </row>
    <row r="10" spans="1:3" x14ac:dyDescent="0.25">
      <c r="A10" s="150">
        <v>1.25</v>
      </c>
      <c r="B10" s="150" t="s">
        <v>13</v>
      </c>
      <c r="C10" s="150">
        <v>8.9999999999999993E-3</v>
      </c>
    </row>
    <row r="11" spans="1:3" x14ac:dyDescent="0.25">
      <c r="A11" s="150">
        <v>1.3</v>
      </c>
      <c r="B11" s="150" t="s">
        <v>14</v>
      </c>
      <c r="C11" s="150">
        <v>0.01</v>
      </c>
    </row>
    <row r="12" spans="1:3" x14ac:dyDescent="0.25">
      <c r="A12" s="150">
        <v>1.35</v>
      </c>
      <c r="B12" s="150" t="s">
        <v>15</v>
      </c>
      <c r="C12" s="150">
        <v>1.0999999999999999E-2</v>
      </c>
    </row>
    <row r="13" spans="1:3" x14ac:dyDescent="0.25">
      <c r="A13" s="150">
        <v>1.4</v>
      </c>
      <c r="B13" s="150" t="s">
        <v>16</v>
      </c>
      <c r="C13" s="150">
        <v>1.2E-2</v>
      </c>
    </row>
    <row r="14" spans="1:3" x14ac:dyDescent="0.25">
      <c r="A14" s="150">
        <v>1.45</v>
      </c>
      <c r="B14" s="150" t="s">
        <v>17</v>
      </c>
      <c r="C14" s="150">
        <v>1.2999999999999999E-2</v>
      </c>
    </row>
    <row r="15" spans="1:3" x14ac:dyDescent="0.25">
      <c r="A15" s="150">
        <v>1.5</v>
      </c>
      <c r="B15" s="150" t="s">
        <v>18</v>
      </c>
      <c r="C15" s="150">
        <v>1.4E-2</v>
      </c>
    </row>
    <row r="16" spans="1:3" x14ac:dyDescent="0.25">
      <c r="A16" s="150">
        <v>1.55</v>
      </c>
      <c r="B16" s="150" t="s">
        <v>19</v>
      </c>
      <c r="C16" s="150">
        <v>1.4999999999999999E-2</v>
      </c>
    </row>
    <row r="17" spans="1:3" x14ac:dyDescent="0.25">
      <c r="A17" s="150">
        <v>1.6</v>
      </c>
      <c r="B17" s="150" t="s">
        <v>20</v>
      </c>
      <c r="C17" s="150">
        <v>1.7999999999999999E-2</v>
      </c>
    </row>
    <row r="18" spans="1:3" x14ac:dyDescent="0.25">
      <c r="A18" s="150">
        <v>1.7</v>
      </c>
      <c r="B18" s="150" t="s">
        <v>21</v>
      </c>
      <c r="C18" s="150">
        <v>0.02</v>
      </c>
    </row>
    <row r="19" spans="1:3" x14ac:dyDescent="0.25">
      <c r="A19" s="150">
        <v>1.8</v>
      </c>
      <c r="B19" s="150" t="s">
        <v>22</v>
      </c>
      <c r="C19" s="150">
        <v>2.5000000000000001E-2</v>
      </c>
    </row>
    <row r="20" spans="1:3" x14ac:dyDescent="0.25">
      <c r="A20" s="150">
        <v>1.9</v>
      </c>
      <c r="B20" s="150" t="s">
        <v>23</v>
      </c>
      <c r="C20" s="150">
        <v>2.9000000000000001E-2</v>
      </c>
    </row>
    <row r="21" spans="1:3" x14ac:dyDescent="0.25">
      <c r="A21" s="150">
        <v>2</v>
      </c>
      <c r="B21" s="150" t="s">
        <v>24</v>
      </c>
      <c r="C21" s="150">
        <v>0.03</v>
      </c>
    </row>
    <row r="22" spans="1:3" x14ac:dyDescent="0.25">
      <c r="A22" s="150">
        <v>2.1</v>
      </c>
      <c r="B22" s="150" t="s">
        <v>25</v>
      </c>
      <c r="C22" s="150">
        <v>3.7999999999999999E-2</v>
      </c>
    </row>
    <row r="23" spans="1:3" x14ac:dyDescent="0.25">
      <c r="A23" s="150">
        <v>2.2000000000000002</v>
      </c>
      <c r="B23" s="150" t="s">
        <v>26</v>
      </c>
      <c r="C23" s="150">
        <v>4.4999999999999998E-2</v>
      </c>
    </row>
    <row r="24" spans="1:3" x14ac:dyDescent="0.25">
      <c r="A24" s="150">
        <v>2.2999999999999998</v>
      </c>
      <c r="B24" s="150" t="s">
        <v>27</v>
      </c>
      <c r="C24" s="150">
        <v>0.05</v>
      </c>
    </row>
    <row r="25" spans="1:3" x14ac:dyDescent="0.25">
      <c r="A25" s="150">
        <v>2.4</v>
      </c>
      <c r="B25" s="150" t="s">
        <v>28</v>
      </c>
      <c r="C25" s="150">
        <v>5.8000000000000003E-2</v>
      </c>
    </row>
    <row r="26" spans="1:3" x14ac:dyDescent="0.25">
      <c r="A26" s="150">
        <v>2.5</v>
      </c>
      <c r="B26" s="150" t="s">
        <v>29</v>
      </c>
      <c r="C26" s="150">
        <v>0.06</v>
      </c>
    </row>
    <row r="27" spans="1:3" x14ac:dyDescent="0.25">
      <c r="A27" s="150">
        <v>2.6</v>
      </c>
      <c r="B27" s="150" t="s">
        <v>30</v>
      </c>
      <c r="C27" s="150">
        <v>7.0000000000000007E-2</v>
      </c>
    </row>
    <row r="28" spans="1:3" x14ac:dyDescent="0.25">
      <c r="A28" s="150">
        <v>2.7</v>
      </c>
      <c r="B28" s="150" t="s">
        <v>31</v>
      </c>
      <c r="C28" s="150">
        <v>7.6999999999999999E-2</v>
      </c>
    </row>
    <row r="29" spans="1:3" x14ac:dyDescent="0.25">
      <c r="A29" s="150">
        <v>2.8</v>
      </c>
      <c r="B29" s="150" t="s">
        <v>32</v>
      </c>
      <c r="C29" s="150">
        <v>0.08</v>
      </c>
    </row>
    <row r="30" spans="1:3" x14ac:dyDescent="0.25">
      <c r="A30" s="150">
        <v>2.9</v>
      </c>
      <c r="B30" s="150" t="s">
        <v>33</v>
      </c>
      <c r="C30" s="150">
        <v>0.09</v>
      </c>
    </row>
    <row r="31" spans="1:3" x14ac:dyDescent="0.25">
      <c r="A31" s="150">
        <v>3</v>
      </c>
      <c r="B31" s="150" t="s">
        <v>34</v>
      </c>
      <c r="C31" s="150">
        <v>0.1</v>
      </c>
    </row>
    <row r="32" spans="1:3" x14ac:dyDescent="0.25">
      <c r="A32" s="150">
        <v>3.1</v>
      </c>
      <c r="B32" s="150" t="s">
        <v>35</v>
      </c>
      <c r="C32" s="150">
        <v>0.11</v>
      </c>
    </row>
    <row r="33" spans="1:3" x14ac:dyDescent="0.25">
      <c r="A33" s="150">
        <v>3.2</v>
      </c>
      <c r="B33" s="150" t="s">
        <v>36</v>
      </c>
      <c r="C33" s="150">
        <v>0.13</v>
      </c>
    </row>
    <row r="34" spans="1:3" x14ac:dyDescent="0.25">
      <c r="A34" s="150">
        <v>3.3</v>
      </c>
      <c r="B34" s="150" t="s">
        <v>37</v>
      </c>
      <c r="C34" s="150">
        <v>0.14000000000000001</v>
      </c>
    </row>
    <row r="35" spans="1:3" x14ac:dyDescent="0.25">
      <c r="A35" s="150">
        <v>3.4</v>
      </c>
      <c r="B35" s="150" t="s">
        <v>38</v>
      </c>
      <c r="C35" s="150">
        <v>0.15</v>
      </c>
    </row>
    <row r="36" spans="1:3" x14ac:dyDescent="0.25">
      <c r="A36" s="150">
        <v>3.5</v>
      </c>
      <c r="B36" s="150" t="s">
        <v>39</v>
      </c>
      <c r="C36" s="150">
        <v>0.16</v>
      </c>
    </row>
    <row r="37" spans="1:3" x14ac:dyDescent="0.25">
      <c r="A37" s="150">
        <v>3.6</v>
      </c>
      <c r="B37" s="150" t="s">
        <v>40</v>
      </c>
      <c r="C37" s="150">
        <v>0.17</v>
      </c>
    </row>
    <row r="38" spans="1:3" x14ac:dyDescent="0.25">
      <c r="A38" s="150">
        <v>3.7</v>
      </c>
      <c r="B38" s="150" t="s">
        <v>41</v>
      </c>
      <c r="C38" s="150">
        <v>0.18</v>
      </c>
    </row>
    <row r="39" spans="1:3" x14ac:dyDescent="0.25">
      <c r="A39" s="150">
        <v>3.8</v>
      </c>
      <c r="B39" s="150" t="s">
        <v>42</v>
      </c>
      <c r="C39" s="150">
        <v>0.19</v>
      </c>
    </row>
    <row r="40" spans="1:3" x14ac:dyDescent="0.25">
      <c r="A40" s="150"/>
      <c r="B40" s="150"/>
      <c r="C40" s="150"/>
    </row>
    <row r="41" spans="1:3" x14ac:dyDescent="0.25">
      <c r="A41" s="150"/>
      <c r="B41" s="150"/>
      <c r="C41" s="150"/>
    </row>
    <row r="42" spans="1:3" x14ac:dyDescent="0.25">
      <c r="A42" s="150"/>
      <c r="B42" s="150"/>
      <c r="C42" s="150"/>
    </row>
    <row r="43" spans="1:3" x14ac:dyDescent="0.25">
      <c r="A43" s="150"/>
      <c r="B43" s="150"/>
      <c r="C43" s="150"/>
    </row>
    <row r="44" spans="1:3" x14ac:dyDescent="0.25">
      <c r="A44" s="150"/>
      <c r="B44" s="150"/>
      <c r="C44" s="150"/>
    </row>
    <row r="45" spans="1:3" x14ac:dyDescent="0.25">
      <c r="A45" s="150"/>
      <c r="B45" s="150"/>
      <c r="C45" s="150"/>
    </row>
    <row r="46" spans="1:3" x14ac:dyDescent="0.25">
      <c r="A46" s="150"/>
      <c r="B46" s="150"/>
      <c r="C46" s="150"/>
    </row>
    <row r="47" spans="1:3" x14ac:dyDescent="0.25">
      <c r="A47" s="150"/>
      <c r="B47" s="150"/>
      <c r="C47" s="150"/>
    </row>
    <row r="48" spans="1:3" x14ac:dyDescent="0.25">
      <c r="A48" s="150"/>
      <c r="B48" s="150"/>
      <c r="C48" s="150"/>
    </row>
    <row r="49" spans="1:3" x14ac:dyDescent="0.25">
      <c r="A49" s="150"/>
      <c r="B49" s="150"/>
      <c r="C49" s="150"/>
    </row>
    <row r="50" spans="1:3" x14ac:dyDescent="0.25">
      <c r="A50" s="150"/>
      <c r="B50" s="150"/>
      <c r="C50" s="150"/>
    </row>
    <row r="51" spans="1:3" x14ac:dyDescent="0.25">
      <c r="A51" s="150"/>
      <c r="B51" s="150"/>
      <c r="C51" s="150"/>
    </row>
    <row r="52" spans="1:3" x14ac:dyDescent="0.25">
      <c r="A52" s="150"/>
      <c r="B52" s="150"/>
      <c r="C52" s="150"/>
    </row>
    <row r="53" spans="1:3" x14ac:dyDescent="0.25">
      <c r="A53" s="150"/>
      <c r="B53" s="150"/>
      <c r="C53" s="150"/>
    </row>
    <row r="54" spans="1:3" x14ac:dyDescent="0.25">
      <c r="A54" s="150"/>
      <c r="B54" s="150"/>
      <c r="C54" s="150"/>
    </row>
    <row r="55" spans="1:3" x14ac:dyDescent="0.25">
      <c r="A55" s="150"/>
      <c r="B55" s="150"/>
      <c r="C55" s="150"/>
    </row>
    <row r="56" spans="1:3" x14ac:dyDescent="0.25">
      <c r="A56" s="150"/>
      <c r="B56" s="150"/>
      <c r="C56" s="150"/>
    </row>
    <row r="57" spans="1:3" x14ac:dyDescent="0.25">
      <c r="A57" s="150"/>
      <c r="B57" s="150"/>
      <c r="C57" s="150"/>
    </row>
    <row r="58" spans="1:3" x14ac:dyDescent="0.25">
      <c r="A58" s="150"/>
      <c r="B58" s="150"/>
      <c r="C58" s="150"/>
    </row>
    <row r="59" spans="1:3" x14ac:dyDescent="0.25">
      <c r="A59" s="150"/>
      <c r="B59" s="150"/>
      <c r="C59" s="150"/>
    </row>
    <row r="60" spans="1:3" x14ac:dyDescent="0.25">
      <c r="A60" s="150"/>
      <c r="B60" s="150"/>
      <c r="C60" s="150"/>
    </row>
    <row r="61" spans="1:3" x14ac:dyDescent="0.25">
      <c r="A61" s="150"/>
      <c r="B61" s="150"/>
      <c r="C61" s="150"/>
    </row>
    <row r="62" spans="1:3" x14ac:dyDescent="0.25">
      <c r="A62" s="150"/>
      <c r="B62" s="150"/>
      <c r="C62" s="150"/>
    </row>
    <row r="63" spans="1:3" x14ac:dyDescent="0.25">
      <c r="A63" s="150"/>
      <c r="B63" s="150"/>
      <c r="C63" s="150"/>
    </row>
    <row r="64" spans="1:3" x14ac:dyDescent="0.25">
      <c r="A64" s="150"/>
      <c r="B64" s="150"/>
      <c r="C64" s="150"/>
    </row>
    <row r="65" spans="1:3" x14ac:dyDescent="0.25">
      <c r="A65" s="150"/>
      <c r="B65" s="150"/>
      <c r="C65" s="150"/>
    </row>
    <row r="66" spans="1:3" x14ac:dyDescent="0.25">
      <c r="A66" s="150"/>
      <c r="B66" s="150"/>
      <c r="C66" s="150"/>
    </row>
    <row r="67" spans="1:3" x14ac:dyDescent="0.25">
      <c r="A67" s="150"/>
      <c r="B67" s="150"/>
      <c r="C67" s="150"/>
    </row>
    <row r="68" spans="1:3" x14ac:dyDescent="0.25">
      <c r="A68" s="150"/>
      <c r="B68" s="150"/>
      <c r="C68" s="150"/>
    </row>
    <row r="69" spans="1:3" x14ac:dyDescent="0.25">
      <c r="A69" s="150"/>
      <c r="B69" s="150"/>
      <c r="C69" s="150"/>
    </row>
    <row r="70" spans="1:3" x14ac:dyDescent="0.25">
      <c r="A70" s="150"/>
      <c r="B70" s="150"/>
      <c r="C70" s="150"/>
    </row>
    <row r="71" spans="1:3" x14ac:dyDescent="0.25">
      <c r="A71" s="150"/>
      <c r="B71" s="150"/>
      <c r="C71" s="150"/>
    </row>
    <row r="72" spans="1:3" x14ac:dyDescent="0.25">
      <c r="A72" s="150"/>
      <c r="B72" s="150"/>
      <c r="C72" s="150"/>
    </row>
    <row r="73" spans="1:3" x14ac:dyDescent="0.25">
      <c r="A73" s="150"/>
      <c r="B73" s="150"/>
      <c r="C73" s="150"/>
    </row>
    <row r="74" spans="1:3" x14ac:dyDescent="0.25">
      <c r="A74" s="150"/>
      <c r="B74" s="150"/>
      <c r="C74" s="150"/>
    </row>
    <row r="75" spans="1:3" x14ac:dyDescent="0.25">
      <c r="A75" s="150"/>
      <c r="B75" s="150"/>
      <c r="C75" s="150"/>
    </row>
    <row r="76" spans="1:3" x14ac:dyDescent="0.25">
      <c r="A76" s="150"/>
      <c r="B76" s="150"/>
      <c r="C76" s="150"/>
    </row>
    <row r="77" spans="1:3" x14ac:dyDescent="0.25">
      <c r="A77" s="150"/>
      <c r="B77" s="150"/>
      <c r="C77" s="150"/>
    </row>
    <row r="78" spans="1:3" x14ac:dyDescent="0.25">
      <c r="A78" s="150"/>
      <c r="B78" s="150"/>
      <c r="C78" s="150"/>
    </row>
    <row r="79" spans="1:3" x14ac:dyDescent="0.25">
      <c r="A79" s="150"/>
      <c r="B79" s="150"/>
      <c r="C79" s="150"/>
    </row>
    <row r="80" spans="1:3" x14ac:dyDescent="0.25">
      <c r="A80" s="150"/>
      <c r="B80" s="150"/>
      <c r="C80" s="150"/>
    </row>
    <row r="81" spans="1:3" x14ac:dyDescent="0.25">
      <c r="A81" s="150"/>
      <c r="B81" s="150"/>
      <c r="C81" s="150"/>
    </row>
    <row r="82" spans="1:3" x14ac:dyDescent="0.25">
      <c r="A82" s="150"/>
      <c r="B82" s="150"/>
      <c r="C82" s="150"/>
    </row>
    <row r="83" spans="1:3" x14ac:dyDescent="0.25">
      <c r="A83" s="150"/>
      <c r="B83" s="150"/>
      <c r="C83" s="150"/>
    </row>
    <row r="84" spans="1:3" x14ac:dyDescent="0.25">
      <c r="A84" s="150"/>
      <c r="B84" s="150"/>
      <c r="C84" s="150"/>
    </row>
    <row r="85" spans="1:3" x14ac:dyDescent="0.25">
      <c r="A85" s="150"/>
      <c r="B85" s="150"/>
      <c r="C85" s="150"/>
    </row>
    <row r="86" spans="1:3" x14ac:dyDescent="0.25">
      <c r="A86" s="150"/>
      <c r="B86" s="150"/>
      <c r="C86" s="150"/>
    </row>
    <row r="87" spans="1:3" x14ac:dyDescent="0.25">
      <c r="A87" s="150"/>
      <c r="B87" s="150"/>
      <c r="C87" s="150"/>
    </row>
    <row r="88" spans="1:3" x14ac:dyDescent="0.25">
      <c r="A88" s="150"/>
      <c r="B88" s="150"/>
      <c r="C88" s="150"/>
    </row>
    <row r="89" spans="1:3" x14ac:dyDescent="0.25">
      <c r="A89" s="150"/>
      <c r="B89" s="150"/>
      <c r="C89" s="150"/>
    </row>
    <row r="90" spans="1:3" x14ac:dyDescent="0.25">
      <c r="A90" s="150"/>
      <c r="B90" s="150"/>
      <c r="C90" s="150"/>
    </row>
    <row r="91" spans="1:3" x14ac:dyDescent="0.25">
      <c r="A91" s="150"/>
      <c r="B91" s="150"/>
      <c r="C91" s="150"/>
    </row>
    <row r="92" spans="1:3" x14ac:dyDescent="0.25">
      <c r="A92" s="150"/>
      <c r="B92" s="150"/>
      <c r="C92" s="150"/>
    </row>
    <row r="93" spans="1:3" x14ac:dyDescent="0.25">
      <c r="A93" s="150"/>
      <c r="B93" s="150"/>
      <c r="C93" s="150"/>
    </row>
    <row r="94" spans="1:3" x14ac:dyDescent="0.25">
      <c r="A94" s="150"/>
      <c r="B94" s="150"/>
      <c r="C94" s="150"/>
    </row>
    <row r="95" spans="1:3" x14ac:dyDescent="0.25">
      <c r="A95" s="150"/>
      <c r="B95" s="150"/>
      <c r="C95" s="150"/>
    </row>
    <row r="96" spans="1:3" x14ac:dyDescent="0.25">
      <c r="A96" s="150"/>
      <c r="B96" s="150"/>
      <c r="C96" s="150"/>
    </row>
    <row r="97" spans="1:3" x14ac:dyDescent="0.25">
      <c r="A97" s="150"/>
      <c r="B97" s="150"/>
      <c r="C97" s="150"/>
    </row>
    <row r="98" spans="1:3" x14ac:dyDescent="0.25">
      <c r="A98" s="150"/>
      <c r="B98" s="150"/>
      <c r="C98" s="150"/>
    </row>
    <row r="99" spans="1:3" x14ac:dyDescent="0.25">
      <c r="A99" s="150"/>
      <c r="B99" s="150"/>
      <c r="C99" s="150"/>
    </row>
    <row r="100" spans="1:3" x14ac:dyDescent="0.25">
      <c r="A100" s="151"/>
      <c r="B100" s="151"/>
      <c r="C100" s="15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Sheet3!Print_Area</vt:lpstr>
      <vt:lpstr>Sheet4!Print_Area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GHOSH</dc:creator>
  <cp:lastModifiedBy>DELL</cp:lastModifiedBy>
  <cp:lastPrinted>2026-05-03T10:02:13Z</cp:lastPrinted>
  <dcterms:created xsi:type="dcterms:W3CDTF">2019-01-12T18:29:42Z</dcterms:created>
  <dcterms:modified xsi:type="dcterms:W3CDTF">2026-05-03T10:52:09Z</dcterms:modified>
</cp:coreProperties>
</file>